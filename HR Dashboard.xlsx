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hidePivotFieldList="1"/>
  <mc:AlternateContent xmlns:mc="http://schemas.openxmlformats.org/markup-compatibility/2006">
    <mc:Choice Requires="x15">
      <x15ac:absPath xmlns:x15ac="http://schemas.microsoft.com/office/spreadsheetml/2010/11/ac" url="D:\Learning\IT Vedant\Excel\Excel Dashboard\"/>
    </mc:Choice>
  </mc:AlternateContent>
  <xr:revisionPtr revIDLastSave="0" documentId="13_ncr:1_{8F1CCB5B-2873-4005-95D1-6D3917140A6A}" xr6:coauthVersionLast="47" xr6:coauthVersionMax="47" xr10:uidLastSave="{00000000-0000-0000-0000-000000000000}"/>
  <bookViews>
    <workbookView xWindow="-120" yWindow="-120" windowWidth="29040" windowHeight="15720" tabRatio="770" xr2:uid="{00000000-000D-0000-FFFF-FFFF00000000}"/>
  </bookViews>
  <sheets>
    <sheet name="Dashboard" sheetId="2" r:id="rId1"/>
    <sheet name="PivotTables" sheetId="3" state="hidden" r:id="rId2"/>
    <sheet name="RawData" sheetId="1" state="hidden" r:id="rId3"/>
  </sheets>
  <definedNames>
    <definedName name="_xlnm._FilterDatabase" localSheetId="2" hidden="1">'RawData'!$A$1:$X$51</definedName>
    <definedName name="Age">'RawData'!$D$2:$D$51</definedName>
    <definedName name="Age_range">'RawData'!$E$2:$E$51</definedName>
    <definedName name="Bonus_Allowances">'RawData'!$Q$2:$Q$51</definedName>
    <definedName name="Certifications">'RawData'!$X$2:$X$51</definedName>
    <definedName name="Date_of_Hire">'RawData'!$J$2:$J$51</definedName>
    <definedName name="Department">'RawData'!$H$2:$H$51</definedName>
    <definedName name="Employee_ID">'RawData'!$A$2:$A$51</definedName>
    <definedName name="Employment_Status">'RawData'!$M$2:$M$51</definedName>
    <definedName name="Full_Name">'RawData'!$B$2:$B$51</definedName>
    <definedName name="Gender">'RawData'!$C$2:$C$51</definedName>
    <definedName name="Insurance_Details">'RawData'!$R$2:$R$51</definedName>
    <definedName name="Job_Title">'RawData'!$G$2:$G$51</definedName>
    <definedName name="Leave_Taken">'RawData'!$S$2:$S$51</definedName>
    <definedName name="Manager_Supervisor">'RawData'!$I$2:$I$51</definedName>
    <definedName name="Pay_Grade">'RawData'!$P$2:$P$51</definedName>
    <definedName name="Performance_Bonus_Eligibility">'RawData'!$U$2:$U$51</definedName>
    <definedName name="Performance_Rating">'RawData'!$T$2:$T$51</definedName>
    <definedName name="Region">'RawData'!$F$2:$F$51</definedName>
    <definedName name="Salary">'RawData'!$O$2:$O$51</definedName>
    <definedName name="Skills">'RawData'!$W$2:$W$51</definedName>
    <definedName name="Slicer_Department">#N/A</definedName>
    <definedName name="Slicer_Gender">#N/A</definedName>
    <definedName name="Tenure_in_Months">'RawData'!$L$2:$L$51</definedName>
    <definedName name="Training_Programs_Attended">'RawData'!$V$2:$V$51</definedName>
    <definedName name="Work_Location">'RawData'!$N$2:$N$51</definedName>
    <definedName name="Years_of_Service">'RawData'!$K$2:$K$51</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U51" i="1" l="1"/>
  <c r="U50" i="1"/>
  <c r="U49" i="1"/>
  <c r="U48" i="1"/>
  <c r="U47" i="1"/>
  <c r="U46" i="1"/>
  <c r="U45" i="1"/>
  <c r="U44" i="1"/>
  <c r="U43" i="1"/>
  <c r="U42" i="1"/>
  <c r="U41" i="1"/>
  <c r="U40" i="1"/>
  <c r="U39" i="1"/>
  <c r="U38" i="1"/>
  <c r="U37" i="1"/>
  <c r="U36" i="1"/>
  <c r="U35" i="1"/>
  <c r="U34" i="1"/>
  <c r="U33" i="1"/>
  <c r="U32" i="1"/>
  <c r="U31" i="1"/>
  <c r="U30" i="1"/>
  <c r="U29" i="1"/>
  <c r="U28" i="1"/>
  <c r="U27" i="1"/>
  <c r="U26" i="1"/>
  <c r="U25" i="1"/>
  <c r="U24" i="1"/>
  <c r="U23" i="1"/>
  <c r="U22" i="1"/>
  <c r="U21" i="1"/>
  <c r="U20" i="1"/>
  <c r="U19" i="1"/>
  <c r="U18" i="1"/>
  <c r="U17" i="1"/>
  <c r="U16" i="1"/>
  <c r="U15" i="1"/>
  <c r="U14" i="1"/>
  <c r="U13" i="1"/>
  <c r="U12" i="1"/>
  <c r="U11" i="1"/>
  <c r="U10" i="1"/>
  <c r="U9" i="1"/>
  <c r="U8" i="1"/>
  <c r="U7" i="1"/>
  <c r="U6" i="1"/>
  <c r="U5" i="1"/>
  <c r="U4" i="1"/>
  <c r="U3" i="1"/>
  <c r="U2" i="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Y15" i="3"/>
  <c r="AB14" i="3"/>
  <c r="I18" i="3"/>
  <c r="F17" i="3"/>
  <c r="S17" i="3"/>
  <c r="AI17" i="3"/>
  <c r="S13" i="3"/>
  <c r="N13" i="3"/>
  <c r="AI13" i="3"/>
  <c r="I22" i="3"/>
  <c r="S15" i="3"/>
  <c r="I14" i="3"/>
  <c r="I23" i="3"/>
  <c r="Y17" i="3"/>
  <c r="Y14" i="3"/>
  <c r="V17" i="3"/>
  <c r="Y16" i="3"/>
  <c r="V13" i="3"/>
  <c r="F14" i="3"/>
  <c r="N12" i="3"/>
  <c r="AI16" i="3"/>
  <c r="V15" i="3"/>
  <c r="C12" i="3"/>
  <c r="I16" i="3"/>
  <c r="V14" i="3"/>
  <c r="AB16" i="3"/>
  <c r="I17" i="3"/>
  <c r="Y13" i="3"/>
  <c r="AB13" i="3"/>
  <c r="N11" i="3"/>
  <c r="AB15" i="3"/>
  <c r="F16" i="3"/>
  <c r="S14" i="3"/>
  <c r="AI15" i="3"/>
  <c r="C11" i="3"/>
  <c r="C13" i="3"/>
  <c r="AI14" i="3"/>
  <c r="V16" i="3"/>
  <c r="F13" i="3"/>
  <c r="AF14" i="3"/>
  <c r="AD14" i="3"/>
  <c r="F15" i="3"/>
  <c r="S16" i="3"/>
  <c r="I15" i="3"/>
  <c r="AB17" i="3"/>
  <c r="AI18" i="3" l="1"/>
  <c r="Y18" i="3"/>
  <c r="AB18" i="3"/>
  <c r="V18" i="3"/>
  <c r="S18" i="3"/>
  <c r="O11" i="3"/>
  <c r="P11" i="3" s="1"/>
  <c r="N14" i="3"/>
  <c r="J23" i="3"/>
  <c r="K23" i="3" s="1"/>
  <c r="I19" i="3"/>
  <c r="O12" i="3"/>
  <c r="P12" i="3" s="1"/>
  <c r="O13" i="3"/>
  <c r="P13" i="3" s="1"/>
  <c r="I24" i="3"/>
  <c r="J22" i="3"/>
  <c r="C14" i="3"/>
  <c r="F18" i="3"/>
  <c r="K22" i="3" l="1"/>
  <c r="J24" i="3"/>
</calcChain>
</file>

<file path=xl/sharedStrings.xml><?xml version="1.0" encoding="utf-8"?>
<sst xmlns="http://schemas.openxmlformats.org/spreadsheetml/2006/main" count="914" uniqueCount="237">
  <si>
    <t>Lori Nguyen</t>
  </si>
  <si>
    <t>Female</t>
  </si>
  <si>
    <t>18-25</t>
  </si>
  <si>
    <t>East</t>
  </si>
  <si>
    <t>Manager</t>
  </si>
  <si>
    <t>Finance</t>
  </si>
  <si>
    <t>Luis Reynolds</t>
  </si>
  <si>
    <t>2019-03-15</t>
  </si>
  <si>
    <t>Full-Time</t>
  </si>
  <si>
    <t>Head Office</t>
  </si>
  <si>
    <t>C</t>
  </si>
  <si>
    <t>Health</t>
  </si>
  <si>
    <t>Leadership Training</t>
  </si>
  <si>
    <t>Design</t>
  </si>
  <si>
    <t>Certified Professional</t>
  </si>
  <si>
    <t>Gary Garcia</t>
  </si>
  <si>
    <t>Male</t>
  </si>
  <si>
    <t>26-35</t>
  </si>
  <si>
    <t>Central</t>
  </si>
  <si>
    <t>Designer</t>
  </si>
  <si>
    <t>HR</t>
  </si>
  <si>
    <t>Ashley Simmons MD</t>
  </si>
  <si>
    <t>2022-12-20</t>
  </si>
  <si>
    <t>Branch Office</t>
  </si>
  <si>
    <t>B</t>
  </si>
  <si>
    <t>None</t>
  </si>
  <si>
    <t>Excel Workshop</t>
  </si>
  <si>
    <t>Jeremy Nguyen</t>
  </si>
  <si>
    <t>West</t>
  </si>
  <si>
    <t>HR Specialist</t>
  </si>
  <si>
    <t>Marketing</t>
  </si>
  <si>
    <t>Cassandra Duncan</t>
  </si>
  <si>
    <t>2022-08-10</t>
  </si>
  <si>
    <t>Remote</t>
  </si>
  <si>
    <t>D</t>
  </si>
  <si>
    <t>Management</t>
  </si>
  <si>
    <t>Advanced Training</t>
  </si>
  <si>
    <t>Kimberly Jones</t>
  </si>
  <si>
    <t>36-45</t>
  </si>
  <si>
    <t>Operations</t>
  </si>
  <si>
    <t>Janet Harris</t>
  </si>
  <si>
    <t>2024-09-03</t>
  </si>
  <si>
    <t>Contract</t>
  </si>
  <si>
    <t>A</t>
  </si>
  <si>
    <t>Health + Dental</t>
  </si>
  <si>
    <t>Python</t>
  </si>
  <si>
    <t>Anthony Gates</t>
  </si>
  <si>
    <t>Mr. Frank Clay</t>
  </si>
  <si>
    <t>2019-03-14</t>
  </si>
  <si>
    <t>Courtney Foster</t>
  </si>
  <si>
    <t>Developer</t>
  </si>
  <si>
    <t>Dorothy Price</t>
  </si>
  <si>
    <t>2017-01-23</t>
  </si>
  <si>
    <t>Communication</t>
  </si>
  <si>
    <t>Catherine Hall</t>
  </si>
  <si>
    <t>Michele Sexton</t>
  </si>
  <si>
    <t>2024-08-17</t>
  </si>
  <si>
    <t>Deanna Ball</t>
  </si>
  <si>
    <t>South</t>
  </si>
  <si>
    <t>IT</t>
  </si>
  <si>
    <t>Richard Schmidt</t>
  </si>
  <si>
    <t>2014-12-09</t>
  </si>
  <si>
    <t>Candace Nelson</t>
  </si>
  <si>
    <t>Teresa Pearson</t>
  </si>
  <si>
    <t>2021-06-28</t>
  </si>
  <si>
    <t>Mandy Davis</t>
  </si>
  <si>
    <t>Laura Hart</t>
  </si>
  <si>
    <t>2018-05-20</t>
  </si>
  <si>
    <t>Matthew Powell</t>
  </si>
  <si>
    <t>Andrea May</t>
  </si>
  <si>
    <t>2017-02-13</t>
  </si>
  <si>
    <t>Bruce Nelson</t>
  </si>
  <si>
    <t>Casey Martin</t>
  </si>
  <si>
    <t>2024-05-05</t>
  </si>
  <si>
    <t>Excel</t>
  </si>
  <si>
    <t>Dawn Cole</t>
  </si>
  <si>
    <t>46-55</t>
  </si>
  <si>
    <t>Amber Allen</t>
  </si>
  <si>
    <t>2022-04-19</t>
  </si>
  <si>
    <t>Tanner Morse</t>
  </si>
  <si>
    <t>North</t>
  </si>
  <si>
    <t>Adam Johnson</t>
  </si>
  <si>
    <t>2015-11-16</t>
  </si>
  <si>
    <t>Jose Griffin</t>
  </si>
  <si>
    <t>Nicole Dominguez</t>
  </si>
  <si>
    <t>2023-09-09</t>
  </si>
  <si>
    <t>Daniel Hawkins</t>
  </si>
  <si>
    <t>Andrew Best</t>
  </si>
  <si>
    <t>2017-12-12</t>
  </si>
  <si>
    <t>Part-Time</t>
  </si>
  <si>
    <t>Elaine Mcclain</t>
  </si>
  <si>
    <t>Gabrielle Rodriguez</t>
  </si>
  <si>
    <t>2017-03-10</t>
  </si>
  <si>
    <t>Allison Harvey</t>
  </si>
  <si>
    <t>2019-03-04</t>
  </si>
  <si>
    <t>Thomas Kramer</t>
  </si>
  <si>
    <t>Tristan Mejia</t>
  </si>
  <si>
    <t>2022-11-20</t>
  </si>
  <si>
    <t>Kevin Whitaker</t>
  </si>
  <si>
    <t>Analyst</t>
  </si>
  <si>
    <t>Mary Welch</t>
  </si>
  <si>
    <t>2021-03-02</t>
  </si>
  <si>
    <t>Dustin Carter</t>
  </si>
  <si>
    <t>Douglas Miles</t>
  </si>
  <si>
    <t>2021-08-01</t>
  </si>
  <si>
    <t>Nicole Williamson</t>
  </si>
  <si>
    <t>Jessica Fleming</t>
  </si>
  <si>
    <t>2015-08-14</t>
  </si>
  <si>
    <t>Matthew Knight</t>
  </si>
  <si>
    <t>Christine Lee</t>
  </si>
  <si>
    <t>2015-10-21</t>
  </si>
  <si>
    <t>Donna Jones</t>
  </si>
  <si>
    <t>Mario Smith DVM</t>
  </si>
  <si>
    <t>2015-03-14</t>
  </si>
  <si>
    <t>Carolyn Bullock</t>
  </si>
  <si>
    <t>Joseph Francis</t>
  </si>
  <si>
    <t>2024-05-22</t>
  </si>
  <si>
    <t>Wendy Gomez</t>
  </si>
  <si>
    <t>Sarah Young</t>
  </si>
  <si>
    <t>2017-03-19</t>
  </si>
  <si>
    <t>Michael Thomas</t>
  </si>
  <si>
    <t>Aaron Hart</t>
  </si>
  <si>
    <t>2021-09-15</t>
  </si>
  <si>
    <t>Kevin Bell</t>
  </si>
  <si>
    <t>Brian Boyd</t>
  </si>
  <si>
    <t>2022-05-09</t>
  </si>
  <si>
    <t>Richard Landry</t>
  </si>
  <si>
    <t>Steven Krueger</t>
  </si>
  <si>
    <t>2017-06-22</t>
  </si>
  <si>
    <t>George Hurley</t>
  </si>
  <si>
    <t>Debra Williams</t>
  </si>
  <si>
    <t>2020-11-28</t>
  </si>
  <si>
    <t>Mark Lopez</t>
  </si>
  <si>
    <t>Karen Mitchell</t>
  </si>
  <si>
    <t>2015-08-30</t>
  </si>
  <si>
    <t>Robert Williams</t>
  </si>
  <si>
    <t>Joseph Sanders</t>
  </si>
  <si>
    <t>2018-10-27</t>
  </si>
  <si>
    <t>Mary Schmidt</t>
  </si>
  <si>
    <t>Shelly George</t>
  </si>
  <si>
    <t>2018-08-26</t>
  </si>
  <si>
    <t>Mary Martinez</t>
  </si>
  <si>
    <t>Nicole Houston</t>
  </si>
  <si>
    <t>2023-07-24</t>
  </si>
  <si>
    <t>Paul Hall</t>
  </si>
  <si>
    <t>Kristin Shaffer</t>
  </si>
  <si>
    <t>2018-07-09</t>
  </si>
  <si>
    <t>Samantha Foster</t>
  </si>
  <si>
    <t>Joel Aguilar</t>
  </si>
  <si>
    <t>2016-12-21</t>
  </si>
  <si>
    <t>Timothy Aguilar</t>
  </si>
  <si>
    <t>Michael Wade</t>
  </si>
  <si>
    <t>2019-06-27</t>
  </si>
  <si>
    <t>Charles Andrews</t>
  </si>
  <si>
    <t>Jessica Walsh</t>
  </si>
  <si>
    <t>2021-08-27</t>
  </si>
  <si>
    <t>Veronica Nelson</t>
  </si>
  <si>
    <t>Kelly Mack</t>
  </si>
  <si>
    <t>2017-05-28</t>
  </si>
  <si>
    <t>Chris Sanchez</t>
  </si>
  <si>
    <t>John Conley</t>
  </si>
  <si>
    <t>2022-01-30</t>
  </si>
  <si>
    <t>Cassie Galvan</t>
  </si>
  <si>
    <t>Aaron Baker</t>
  </si>
  <si>
    <t>2017-04-20</t>
  </si>
  <si>
    <t>Jessica Jones</t>
  </si>
  <si>
    <t>Christopher Bass</t>
  </si>
  <si>
    <t>2019-07-22</t>
  </si>
  <si>
    <t>Emily Walker</t>
  </si>
  <si>
    <t>Sean Tucker PhD</t>
  </si>
  <si>
    <t>2018-11-29</t>
  </si>
  <si>
    <t>Vickie Lewis</t>
  </si>
  <si>
    <t>Jacob Scott</t>
  </si>
  <si>
    <t>2022-11-14</t>
  </si>
  <si>
    <t>Alexis Clark</t>
  </si>
  <si>
    <t>Joel Park</t>
  </si>
  <si>
    <t>2016-02-23</t>
  </si>
  <si>
    <t>Robert Davis</t>
  </si>
  <si>
    <t>Russell Marshall</t>
  </si>
  <si>
    <t>2018-05-18</t>
  </si>
  <si>
    <t>Daniel Brown MD</t>
  </si>
  <si>
    <t>James Holden</t>
  </si>
  <si>
    <t>2024-03-09</t>
  </si>
  <si>
    <t>Anna Payne</t>
  </si>
  <si>
    <t>Thomas Murphy</t>
  </si>
  <si>
    <t>2024-03-27</t>
  </si>
  <si>
    <t>Rhonda Pena</t>
  </si>
  <si>
    <t>Mark Abbott</t>
  </si>
  <si>
    <t>2019-12-23</t>
  </si>
  <si>
    <t>Nicole Gonzalez</t>
  </si>
  <si>
    <t>Robin Lynch</t>
  </si>
  <si>
    <t>2016-08-25</t>
  </si>
  <si>
    <t>Employee ID</t>
  </si>
  <si>
    <t>Full Name</t>
  </si>
  <si>
    <t>Gender</t>
  </si>
  <si>
    <t>Age</t>
  </si>
  <si>
    <t>Age range</t>
  </si>
  <si>
    <t>Region</t>
  </si>
  <si>
    <t>Job Title</t>
  </si>
  <si>
    <t>Department</t>
  </si>
  <si>
    <t>Manager/Supervisor</t>
  </si>
  <si>
    <t>Date of Hire</t>
  </si>
  <si>
    <t>Employment Status</t>
  </si>
  <si>
    <t>Work Location</t>
  </si>
  <si>
    <t>Salary</t>
  </si>
  <si>
    <t>Pay Grade</t>
  </si>
  <si>
    <t>Bonus/Allowances</t>
  </si>
  <si>
    <t>Insurance Details</t>
  </si>
  <si>
    <t>Leave Taken</t>
  </si>
  <si>
    <t>Performance Rating</t>
  </si>
  <si>
    <t>Training Programs Attended</t>
  </si>
  <si>
    <t>Skills</t>
  </si>
  <si>
    <t>Certifications</t>
  </si>
  <si>
    <t>Row Labels</t>
  </si>
  <si>
    <t>Grand Total</t>
  </si>
  <si>
    <t>Count of Full Name</t>
  </si>
  <si>
    <t># of employees to employement status</t>
  </si>
  <si>
    <t>Total</t>
  </si>
  <si>
    <t>Sum of Salary</t>
  </si>
  <si>
    <t>Column Labels</t>
  </si>
  <si>
    <t>Age range by gender</t>
  </si>
  <si>
    <t>Office location</t>
  </si>
  <si>
    <t>Sum of Leave Taken</t>
  </si>
  <si>
    <t>Average of Performance Rating</t>
  </si>
  <si>
    <t>Leaves by job titles</t>
  </si>
  <si>
    <t>Years of Service</t>
  </si>
  <si>
    <t>Tenure in Months</t>
  </si>
  <si>
    <t>Performance Bonus Eligibility</t>
  </si>
  <si>
    <t>Average Salary</t>
  </si>
  <si>
    <t>Average of Salary</t>
  </si>
  <si>
    <t>Average rating by department</t>
  </si>
  <si>
    <t>Average salary</t>
  </si>
  <si>
    <t>&gt;=56</t>
  </si>
  <si>
    <t>Average Tenure</t>
  </si>
  <si>
    <t>Average of Years of Service</t>
  </si>
  <si>
    <t>Salaries by titles</t>
  </si>
  <si>
    <t>Salaries by department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</si>
</sst>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 &quot;₹&quot;\ * #,##0.00_ ;_ &quot;₹&quot;\ * \-#,##0.00_ ;_ &quot;₹&quot;\ * &quot;-&quot;??_ ;_ @_ "/>
    <numFmt numFmtId="164" formatCode="_ [$₹-4009]\ * #,##0_ ;_ [$₹-4009]\ * \-#,##0_ ;_ [$₹-4009]\ * &quot;-&quot;??_ ;_ @_ "/>
    <numFmt numFmtId="165" formatCode="0.0"/>
    <numFmt numFmtId="166" formatCode="_ &quot;₹&quot;\ * #,##0_ ;_ &quot;₹&quot;\ * \-#,##0_ ;_ &quot;₹&quot;\ * &quot;-&quot;??_ ;_ @_ "/>
  </numFmts>
  <fonts count="3" x14ac:knownFonts="1">
    <font>
      <sz val="11"/>
      <color theme="1"/>
      <name val="Calibri"/>
      <family val="2"/>
      <scheme val="minor"/>
    </font>
    <font>
      <b/>
      <sz val="11"/>
      <color theme="1"/>
      <name val="Calibri"/>
      <family val="2"/>
      <scheme val="minor"/>
    </font>
    <font>
      <sz val="11"/>
      <color theme="1"/>
      <name val="Calibri"/>
      <family val="2"/>
      <scheme val="minor"/>
    </font>
  </fonts>
  <fills count="3">
    <fill>
      <patternFill patternType="none"/>
    </fill>
    <fill>
      <patternFill patternType="gray125"/>
    </fill>
    <fill>
      <patternFill patternType="solid">
        <fgColor theme="1" tint="0.499984740745262"/>
        <bgColor indexed="64"/>
      </patternFill>
    </fill>
  </fills>
  <borders count="1">
    <border>
      <left/>
      <right/>
      <top/>
      <bottom/>
      <diagonal/>
    </border>
  </borders>
  <cellStyleXfs count="2">
    <xf numFmtId="0" fontId="0" fillId="0" borderId="0"/>
    <xf numFmtId="44" fontId="2" fillId="0" borderId="0" applyFont="0" applyFill="0" applyBorder="0" applyAlignment="0" applyProtection="0"/>
  </cellStyleXfs>
  <cellXfs count="16">
    <xf numFmtId="0" fontId="0" fillId="0" borderId="0" xfId="0"/>
    <xf numFmtId="0" fontId="0" fillId="0" borderId="0" xfId="0" pivotButton="1"/>
    <xf numFmtId="0" fontId="0" fillId="0" borderId="0" xfId="0" applyAlignment="1">
      <alignment horizontal="left"/>
    </xf>
    <xf numFmtId="164" fontId="0" fillId="0" borderId="0" xfId="0" applyNumberFormat="1"/>
    <xf numFmtId="9" fontId="1" fillId="0" borderId="0" xfId="0" applyNumberFormat="1" applyFont="1"/>
    <xf numFmtId="9" fontId="0" fillId="0" borderId="0" xfId="0" applyNumberFormat="1"/>
    <xf numFmtId="1" fontId="0" fillId="0" borderId="0" xfId="0" applyNumberFormat="1"/>
    <xf numFmtId="165" fontId="0" fillId="0" borderId="0" xfId="0" applyNumberFormat="1"/>
    <xf numFmtId="165" fontId="1" fillId="0" borderId="0" xfId="0" applyNumberFormat="1" applyFont="1"/>
    <xf numFmtId="0" fontId="0" fillId="2" borderId="0" xfId="0" applyFill="1"/>
    <xf numFmtId="166" fontId="0" fillId="0" borderId="0" xfId="1" applyNumberFormat="1" applyFont="1"/>
    <xf numFmtId="0" fontId="1" fillId="0" borderId="0" xfId="0" applyFont="1"/>
    <xf numFmtId="166" fontId="0" fillId="0" borderId="0" xfId="0" applyNumberFormat="1"/>
    <xf numFmtId="0" fontId="1" fillId="0" borderId="0" xfId="0" applyFont="1" applyAlignment="1">
      <alignment horizontal="center" wrapText="1"/>
    </xf>
    <xf numFmtId="0" fontId="1" fillId="0" borderId="0" xfId="0" applyFont="1" applyAlignment="1">
      <alignment horizontal="center"/>
    </xf>
    <xf numFmtId="0" fontId="0" fillId="0" borderId="0" xfId="0" applyNumberFormat="1"/>
  </cellXfs>
  <cellStyles count="2">
    <cellStyle name="Currency" xfId="1" builtinId="4"/>
    <cellStyle name="Normal" xfId="0" builtinId="0"/>
  </cellStyles>
  <dxfs count="9">
    <dxf>
      <numFmt numFmtId="1" formatCode="0"/>
    </dxf>
    <dxf>
      <numFmt numFmtId="165" formatCode="0.0"/>
    </dxf>
    <dxf>
      <numFmt numFmtId="165" formatCode="0.0"/>
    </dxf>
    <dxf>
      <numFmt numFmtId="164" formatCode="_ [$₹-4009]\ * #,##0_ ;_ [$₹-4009]\ * \-#,##0_ ;_ [$₹-4009]\ * &quot;-&quot;??_ ;_ @_ "/>
    </dxf>
    <dxf>
      <numFmt numFmtId="0" formatCode="General"/>
    </dxf>
    <dxf>
      <numFmt numFmtId="164" formatCode="_ [$₹-4009]\ * #,##0_ ;_ [$₹-4009]\ * \-#,##0_ ;_ [$₹-4009]\ * &quot;-&quot;??_ ;_ @_ "/>
    </dxf>
    <dxf>
      <numFmt numFmtId="0" formatCode="General"/>
    </dxf>
    <dxf>
      <numFmt numFmtId="0" formatCode="General"/>
    </dxf>
    <dxf>
      <font>
        <color theme="0"/>
      </font>
      <fill>
        <patternFill>
          <fgColor rgb="FF282828"/>
          <bgColor rgb="FF282828"/>
        </patternFill>
      </fill>
    </dxf>
  </dxfs>
  <tableStyles count="1" defaultTableStyle="TableStyleMedium2" defaultPivotStyle="PivotStyleLight16">
    <tableStyle name="Slicer Style 1" pivot="0" table="0" count="2" xr9:uid="{80B74B3E-7147-4B69-B2DD-5CE0D7F2D02F}">
      <tableStyleElement type="wholeTable" dxfId="8"/>
    </tableStyle>
  </tableStyles>
  <colors>
    <mruColors>
      <color rgb="FFE5B9DD"/>
      <color rgb="FFBDD7EE"/>
      <color rgb="FF282828"/>
      <color rgb="FF5B9BD5"/>
      <color rgb="FFE5B244"/>
      <color rgb="FF1F1F1F"/>
    </mruColors>
  </colors>
  <extLst>
    <ext xmlns:x14="http://schemas.microsoft.com/office/spreadsheetml/2009/9/main" uri="{46F421CA-312F-682f-3DD2-61675219B42D}">
      <x14:dxfs count="1">
        <dxf>
          <fill>
            <patternFill>
              <bgColor theme="1" tint="0.499984740745262"/>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Dashboard.xlsx]PivotTables!AgeRange</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E5B9D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E5B9D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BDD7E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20000"/>
                      <a:lumOff val="8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PivotTables!$I$4:$I$5</c:f>
              <c:strCache>
                <c:ptCount val="1"/>
                <c:pt idx="0">
                  <c:v>Male</c:v>
                </c:pt>
              </c:strCache>
            </c:strRef>
          </c:tx>
          <c:spPr>
            <a:solidFill>
              <a:srgbClr val="BDD7EE"/>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20000"/>
                        <a:lumOff val="8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PivotTables!$H$6:$H$11</c:f>
              <c:strCache>
                <c:ptCount val="5"/>
                <c:pt idx="0">
                  <c:v>18-25</c:v>
                </c:pt>
                <c:pt idx="1">
                  <c:v>26-35</c:v>
                </c:pt>
                <c:pt idx="2">
                  <c:v>36-45</c:v>
                </c:pt>
                <c:pt idx="3">
                  <c:v>46-55</c:v>
                </c:pt>
                <c:pt idx="4">
                  <c:v>&gt;=56</c:v>
                </c:pt>
              </c:strCache>
            </c:strRef>
          </c:cat>
          <c:val>
            <c:numRef>
              <c:f>PivotTables!$I$6:$I$11</c:f>
              <c:numCache>
                <c:formatCode>General</c:formatCode>
                <c:ptCount val="5"/>
                <c:pt idx="0">
                  <c:v>3</c:v>
                </c:pt>
                <c:pt idx="1">
                  <c:v>6</c:v>
                </c:pt>
                <c:pt idx="2">
                  <c:v>7</c:v>
                </c:pt>
                <c:pt idx="3">
                  <c:v>3</c:v>
                </c:pt>
                <c:pt idx="4">
                  <c:v>5</c:v>
                </c:pt>
              </c:numCache>
            </c:numRef>
          </c:val>
          <c:extLst>
            <c:ext xmlns:c16="http://schemas.microsoft.com/office/drawing/2014/chart" uri="{C3380CC4-5D6E-409C-BE32-E72D297353CC}">
              <c16:uniqueId val="{00000000-C418-4242-AF80-6E01028A533A}"/>
            </c:ext>
          </c:extLst>
        </c:ser>
        <c:ser>
          <c:idx val="1"/>
          <c:order val="1"/>
          <c:tx>
            <c:strRef>
              <c:f>PivotTables!$J$4:$J$5</c:f>
              <c:strCache>
                <c:ptCount val="1"/>
                <c:pt idx="0">
                  <c:v>Female</c:v>
                </c:pt>
              </c:strCache>
            </c:strRef>
          </c:tx>
          <c:spPr>
            <a:solidFill>
              <a:srgbClr val="E5B9D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E5B9DD"/>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PivotTables!$H$6:$H$11</c:f>
              <c:strCache>
                <c:ptCount val="5"/>
                <c:pt idx="0">
                  <c:v>18-25</c:v>
                </c:pt>
                <c:pt idx="1">
                  <c:v>26-35</c:v>
                </c:pt>
                <c:pt idx="2">
                  <c:v>36-45</c:v>
                </c:pt>
                <c:pt idx="3">
                  <c:v>46-55</c:v>
                </c:pt>
                <c:pt idx="4">
                  <c:v>&gt;=56</c:v>
                </c:pt>
              </c:strCache>
            </c:strRef>
          </c:cat>
          <c:val>
            <c:numRef>
              <c:f>PivotTables!$J$6:$J$11</c:f>
              <c:numCache>
                <c:formatCode>General</c:formatCode>
                <c:ptCount val="5"/>
                <c:pt idx="0">
                  <c:v>6</c:v>
                </c:pt>
                <c:pt idx="1">
                  <c:v>7</c:v>
                </c:pt>
                <c:pt idx="2">
                  <c:v>5</c:v>
                </c:pt>
                <c:pt idx="3">
                  <c:v>4</c:v>
                </c:pt>
                <c:pt idx="4">
                  <c:v>4</c:v>
                </c:pt>
              </c:numCache>
            </c:numRef>
          </c:val>
          <c:extLst>
            <c:ext xmlns:c16="http://schemas.microsoft.com/office/drawing/2014/chart" uri="{C3380CC4-5D6E-409C-BE32-E72D297353CC}">
              <c16:uniqueId val="{00000002-3ED5-4651-B4CF-E3FACD01562E}"/>
            </c:ext>
          </c:extLst>
        </c:ser>
        <c:dLbls>
          <c:showLegendKey val="0"/>
          <c:showVal val="0"/>
          <c:showCatName val="0"/>
          <c:showSerName val="0"/>
          <c:showPercent val="0"/>
          <c:showBubbleSize val="0"/>
        </c:dLbls>
        <c:gapWidth val="77"/>
        <c:overlap val="-27"/>
        <c:axId val="1293731776"/>
        <c:axId val="1293736576"/>
      </c:barChart>
      <c:catAx>
        <c:axId val="1293731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1293736576"/>
        <c:crosses val="autoZero"/>
        <c:auto val="1"/>
        <c:lblAlgn val="ctr"/>
        <c:lblOffset val="100"/>
        <c:noMultiLvlLbl val="0"/>
      </c:catAx>
      <c:valAx>
        <c:axId val="1293736576"/>
        <c:scaling>
          <c:orientation val="minMax"/>
        </c:scaling>
        <c:delete val="1"/>
        <c:axPos val="l"/>
        <c:numFmt formatCode="General" sourceLinked="1"/>
        <c:majorTickMark val="none"/>
        <c:minorTickMark val="none"/>
        <c:tickLblPos val="nextTo"/>
        <c:crossAx val="12937317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0431191626364732E-2"/>
          <c:y val="6.2797917803325221E-2"/>
          <c:w val="0.73096383948849752"/>
          <c:h val="0.86361829971230497"/>
        </c:manualLayout>
      </c:layout>
      <c:doughnutChart>
        <c:varyColors val="1"/>
        <c:ser>
          <c:idx val="0"/>
          <c:order val="0"/>
          <c:dPt>
            <c:idx val="0"/>
            <c:bubble3D val="0"/>
            <c:spPr>
              <a:solidFill>
                <a:srgbClr val="BDD7EE"/>
              </a:solidFill>
              <a:ln w="19050">
                <a:noFill/>
              </a:ln>
              <a:effectLst/>
            </c:spPr>
            <c:extLst>
              <c:ext xmlns:c16="http://schemas.microsoft.com/office/drawing/2014/chart" uri="{C3380CC4-5D6E-409C-BE32-E72D297353CC}">
                <c16:uniqueId val="{00000001-6CEB-45ED-9D3E-0C4D07D60C0B}"/>
              </c:ext>
            </c:extLst>
          </c:dPt>
          <c:dPt>
            <c:idx val="1"/>
            <c:bubble3D val="0"/>
            <c:spPr>
              <a:solidFill>
                <a:schemeClr val="tx1">
                  <a:lumMod val="65000"/>
                  <a:lumOff val="35000"/>
                </a:schemeClr>
              </a:solidFill>
              <a:ln w="19050">
                <a:noFill/>
              </a:ln>
              <a:effectLst/>
            </c:spPr>
            <c:extLst>
              <c:ext xmlns:c16="http://schemas.microsoft.com/office/drawing/2014/chart" uri="{C3380CC4-5D6E-409C-BE32-E72D297353CC}">
                <c16:uniqueId val="{00000003-6CEB-45ED-9D3E-0C4D07D60C0B}"/>
              </c:ext>
            </c:extLst>
          </c:dPt>
          <c:val>
            <c:numRef>
              <c:f>PivotTables!$J$22:$K$22</c:f>
              <c:numCache>
                <c:formatCode>0%</c:formatCode>
                <c:ptCount val="2"/>
                <c:pt idx="0">
                  <c:v>0.48</c:v>
                </c:pt>
                <c:pt idx="1">
                  <c:v>0.52</c:v>
                </c:pt>
              </c:numCache>
            </c:numRef>
          </c:val>
          <c:extLst>
            <c:ext xmlns:c16="http://schemas.microsoft.com/office/drawing/2014/chart" uri="{C3380CC4-5D6E-409C-BE32-E72D297353CC}">
              <c16:uniqueId val="{00000004-6CEB-45ED-9D3E-0C4D07D60C0B}"/>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128256704980843"/>
          <c:y val="9.0518140589569154E-2"/>
          <c:w val="0.71228065134099616"/>
          <c:h val="0.84310770975056692"/>
        </c:manualLayout>
      </c:layout>
      <c:doughnutChart>
        <c:varyColors val="1"/>
        <c:ser>
          <c:idx val="0"/>
          <c:order val="0"/>
          <c:spPr>
            <a:ln>
              <a:noFill/>
            </a:ln>
          </c:spPr>
          <c:dPt>
            <c:idx val="0"/>
            <c:bubble3D val="0"/>
            <c:spPr>
              <a:solidFill>
                <a:srgbClr val="E5B9DD"/>
              </a:solidFill>
              <a:ln w="19050">
                <a:noFill/>
              </a:ln>
              <a:effectLst/>
            </c:spPr>
            <c:extLst>
              <c:ext xmlns:c16="http://schemas.microsoft.com/office/drawing/2014/chart" uri="{C3380CC4-5D6E-409C-BE32-E72D297353CC}">
                <c16:uniqueId val="{00000001-922E-4C26-9577-ED5885CC3FE9}"/>
              </c:ext>
            </c:extLst>
          </c:dPt>
          <c:dPt>
            <c:idx val="1"/>
            <c:bubble3D val="0"/>
            <c:spPr>
              <a:solidFill>
                <a:schemeClr val="tx1">
                  <a:lumMod val="65000"/>
                  <a:lumOff val="35000"/>
                </a:schemeClr>
              </a:solidFill>
              <a:ln w="19050">
                <a:noFill/>
              </a:ln>
              <a:effectLst/>
            </c:spPr>
            <c:extLst>
              <c:ext xmlns:c16="http://schemas.microsoft.com/office/drawing/2014/chart" uri="{C3380CC4-5D6E-409C-BE32-E72D297353CC}">
                <c16:uniqueId val="{00000003-922E-4C26-9577-ED5885CC3FE9}"/>
              </c:ext>
            </c:extLst>
          </c:dPt>
          <c:val>
            <c:numRef>
              <c:f>PivotTables!$J$23:$K$23</c:f>
              <c:numCache>
                <c:formatCode>0%</c:formatCode>
                <c:ptCount val="2"/>
                <c:pt idx="0">
                  <c:v>0.52</c:v>
                </c:pt>
                <c:pt idx="1">
                  <c:v>0.48</c:v>
                </c:pt>
              </c:numCache>
            </c:numRef>
          </c:val>
          <c:extLst>
            <c:ext xmlns:c16="http://schemas.microsoft.com/office/drawing/2014/chart" uri="{C3380CC4-5D6E-409C-BE32-E72D297353CC}">
              <c16:uniqueId val="{00000004-922E-4C26-9577-ED5885CC3FE9}"/>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Dashboard.xlsx]PivotTables!Region</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20000"/>
              <a:lumOff val="80000"/>
            </a:schemeClr>
          </a:solidFill>
          <a:ln>
            <a:noFill/>
          </a:ln>
          <a:effectLst/>
        </c:spPr>
      </c:pivotFmt>
    </c:pivotFmts>
    <c:plotArea>
      <c:layout>
        <c:manualLayout>
          <c:layoutTarget val="inner"/>
          <c:xMode val="edge"/>
          <c:yMode val="edge"/>
          <c:x val="0.25637135975399644"/>
          <c:y val="3.2162446760023264E-2"/>
          <c:w val="0.68472614085384087"/>
          <c:h val="0.92055636757980108"/>
        </c:manualLayout>
      </c:layout>
      <c:barChart>
        <c:barDir val="bar"/>
        <c:grouping val="clustered"/>
        <c:varyColors val="0"/>
        <c:ser>
          <c:idx val="0"/>
          <c:order val="0"/>
          <c:tx>
            <c:strRef>
              <c:f>PivotTables!$Y$4</c:f>
              <c:strCache>
                <c:ptCount val="1"/>
                <c:pt idx="0">
                  <c:v>Total</c:v>
                </c:pt>
              </c:strCache>
            </c:strRef>
          </c:tx>
          <c:spPr>
            <a:solidFill>
              <a:schemeClr val="accent2">
                <a:lumMod val="20000"/>
                <a:lumOff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PivotTables!$X$5:$X$10</c:f>
              <c:strCache>
                <c:ptCount val="5"/>
                <c:pt idx="0">
                  <c:v>Central</c:v>
                </c:pt>
                <c:pt idx="1">
                  <c:v>East</c:v>
                </c:pt>
                <c:pt idx="2">
                  <c:v>North</c:v>
                </c:pt>
                <c:pt idx="3">
                  <c:v>South</c:v>
                </c:pt>
                <c:pt idx="4">
                  <c:v>West</c:v>
                </c:pt>
              </c:strCache>
            </c:strRef>
          </c:cat>
          <c:val>
            <c:numRef>
              <c:f>PivotTables!$Y$5:$Y$10</c:f>
              <c:numCache>
                <c:formatCode>General</c:formatCode>
                <c:ptCount val="5"/>
                <c:pt idx="0">
                  <c:v>14</c:v>
                </c:pt>
                <c:pt idx="1">
                  <c:v>10</c:v>
                </c:pt>
                <c:pt idx="2">
                  <c:v>7</c:v>
                </c:pt>
                <c:pt idx="3">
                  <c:v>10</c:v>
                </c:pt>
                <c:pt idx="4">
                  <c:v>9</c:v>
                </c:pt>
              </c:numCache>
            </c:numRef>
          </c:val>
          <c:extLst>
            <c:ext xmlns:c16="http://schemas.microsoft.com/office/drawing/2014/chart" uri="{C3380CC4-5D6E-409C-BE32-E72D297353CC}">
              <c16:uniqueId val="{00000000-16DF-4F91-B90E-9C8A73AADC83}"/>
            </c:ext>
          </c:extLst>
        </c:ser>
        <c:dLbls>
          <c:dLblPos val="outEnd"/>
          <c:showLegendKey val="0"/>
          <c:showVal val="1"/>
          <c:showCatName val="0"/>
          <c:showSerName val="0"/>
          <c:showPercent val="0"/>
          <c:showBubbleSize val="0"/>
        </c:dLbls>
        <c:gapWidth val="30"/>
        <c:axId val="1287779520"/>
        <c:axId val="1287768480"/>
      </c:barChart>
      <c:catAx>
        <c:axId val="12877795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900" b="0" i="0" u="none" strike="noStrike" kern="1200" baseline="0">
                <a:solidFill>
                  <a:schemeClr val="bg1">
                    <a:lumMod val="95000"/>
                  </a:schemeClr>
                </a:solidFill>
                <a:latin typeface="+mn-lt"/>
                <a:ea typeface="+mn-ea"/>
                <a:cs typeface="+mn-cs"/>
              </a:defRPr>
            </a:pPr>
            <a:endParaRPr lang="en-US"/>
          </a:p>
        </c:txPr>
        <c:crossAx val="1287768480"/>
        <c:crosses val="autoZero"/>
        <c:auto val="1"/>
        <c:lblAlgn val="ctr"/>
        <c:lblOffset val="100"/>
        <c:noMultiLvlLbl val="0"/>
      </c:catAx>
      <c:valAx>
        <c:axId val="1287768480"/>
        <c:scaling>
          <c:orientation val="minMax"/>
        </c:scaling>
        <c:delete val="1"/>
        <c:axPos val="b"/>
        <c:numFmt formatCode="General" sourceLinked="1"/>
        <c:majorTickMark val="none"/>
        <c:minorTickMark val="none"/>
        <c:tickLblPos val="nextTo"/>
        <c:crossAx val="12877795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4603563795031949"/>
          <c:y val="5.0925925925925923E-2"/>
          <c:w val="0.72896419593120465"/>
          <c:h val="0.93255643044619418"/>
        </c:manualLayout>
      </c:layout>
      <c:barChart>
        <c:barDir val="bar"/>
        <c:grouping val="clustered"/>
        <c:varyColors val="0"/>
        <c:ser>
          <c:idx val="0"/>
          <c:order val="0"/>
          <c:spPr>
            <a:solidFill>
              <a:schemeClr val="accent4">
                <a:lumMod val="20000"/>
                <a:lumOff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PivotTables!$M$11:$M$13</c:f>
              <c:strCache>
                <c:ptCount val="3"/>
                <c:pt idx="0">
                  <c:v>Remote</c:v>
                </c:pt>
                <c:pt idx="1">
                  <c:v>Head Office</c:v>
                </c:pt>
                <c:pt idx="2">
                  <c:v>Branch Office</c:v>
                </c:pt>
              </c:strCache>
            </c:strRef>
          </c:cat>
          <c:val>
            <c:numRef>
              <c:f>PivotTables!$O$11:$O$13</c:f>
              <c:numCache>
                <c:formatCode>0%</c:formatCode>
                <c:ptCount val="3"/>
                <c:pt idx="0">
                  <c:v>0.38</c:v>
                </c:pt>
                <c:pt idx="1">
                  <c:v>0.16</c:v>
                </c:pt>
                <c:pt idx="2">
                  <c:v>0.46</c:v>
                </c:pt>
              </c:numCache>
            </c:numRef>
          </c:val>
          <c:extLst>
            <c:ext xmlns:c16="http://schemas.microsoft.com/office/drawing/2014/chart" uri="{C3380CC4-5D6E-409C-BE32-E72D297353CC}">
              <c16:uniqueId val="{00000000-8E85-4ACA-BA83-CC2E91C04DB8}"/>
            </c:ext>
          </c:extLst>
        </c:ser>
        <c:dLbls>
          <c:dLblPos val="outEnd"/>
          <c:showLegendKey val="0"/>
          <c:showVal val="1"/>
          <c:showCatName val="0"/>
          <c:showSerName val="0"/>
          <c:showPercent val="0"/>
          <c:showBubbleSize val="0"/>
        </c:dLbls>
        <c:gapWidth val="22"/>
        <c:axId val="1471654992"/>
        <c:axId val="1471650192"/>
      </c:barChart>
      <c:catAx>
        <c:axId val="14716549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71650192"/>
        <c:crosses val="autoZero"/>
        <c:auto val="1"/>
        <c:lblAlgn val="ctr"/>
        <c:lblOffset val="100"/>
        <c:noMultiLvlLbl val="0"/>
      </c:catAx>
      <c:valAx>
        <c:axId val="1471650192"/>
        <c:scaling>
          <c:orientation val="minMax"/>
        </c:scaling>
        <c:delete val="1"/>
        <c:axPos val="b"/>
        <c:numFmt formatCode="0%" sourceLinked="1"/>
        <c:majorTickMark val="none"/>
        <c:minorTickMark val="none"/>
        <c:tickLblPos val="nextTo"/>
        <c:crossAx val="1471654992"/>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3938135938135938"/>
          <c:y val="3.9580089532032445E-2"/>
          <c:w val="0.54523358523358523"/>
          <c:h val="0.77238269645748847"/>
        </c:manualLayout>
      </c:layout>
      <c:pieChart>
        <c:varyColors val="1"/>
        <c:ser>
          <c:idx val="0"/>
          <c:order val="0"/>
          <c:spPr>
            <a:ln w="31750">
              <a:solidFill>
                <a:srgbClr val="282828"/>
              </a:solidFill>
            </a:ln>
          </c:spPr>
          <c:dPt>
            <c:idx val="0"/>
            <c:bubble3D val="0"/>
            <c:spPr>
              <a:solidFill>
                <a:schemeClr val="bg2">
                  <a:lumMod val="75000"/>
                </a:schemeClr>
              </a:solidFill>
              <a:ln w="31750">
                <a:solidFill>
                  <a:srgbClr val="282828"/>
                </a:solidFill>
              </a:ln>
              <a:effectLst/>
            </c:spPr>
            <c:extLst>
              <c:ext xmlns:c16="http://schemas.microsoft.com/office/drawing/2014/chart" uri="{C3380CC4-5D6E-409C-BE32-E72D297353CC}">
                <c16:uniqueId val="{00000001-FBF1-4739-BEAB-867F9A329077}"/>
              </c:ext>
            </c:extLst>
          </c:dPt>
          <c:dPt>
            <c:idx val="1"/>
            <c:bubble3D val="0"/>
            <c:spPr>
              <a:solidFill>
                <a:schemeClr val="tx1">
                  <a:lumMod val="75000"/>
                  <a:lumOff val="25000"/>
                </a:schemeClr>
              </a:solidFill>
              <a:ln w="31750">
                <a:solidFill>
                  <a:srgbClr val="282828"/>
                </a:solidFill>
              </a:ln>
              <a:effectLst/>
            </c:spPr>
            <c:extLst>
              <c:ext xmlns:c16="http://schemas.microsoft.com/office/drawing/2014/chart" uri="{C3380CC4-5D6E-409C-BE32-E72D297353CC}">
                <c16:uniqueId val="{00000003-FBF1-4739-BEAB-867F9A329077}"/>
              </c:ext>
            </c:extLst>
          </c:dPt>
          <c:dPt>
            <c:idx val="2"/>
            <c:bubble3D val="0"/>
            <c:spPr>
              <a:solidFill>
                <a:schemeClr val="bg2">
                  <a:lumMod val="90000"/>
                </a:schemeClr>
              </a:solidFill>
              <a:ln w="31750">
                <a:solidFill>
                  <a:srgbClr val="282828"/>
                </a:solidFill>
              </a:ln>
              <a:effectLst/>
            </c:spPr>
            <c:extLst>
              <c:ext xmlns:c16="http://schemas.microsoft.com/office/drawing/2014/chart" uri="{C3380CC4-5D6E-409C-BE32-E72D297353CC}">
                <c16:uniqueId val="{00000005-FBF1-4739-BEAB-867F9A329077}"/>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PivotTables!$B$11:$B$13</c:f>
              <c:strCache>
                <c:ptCount val="3"/>
                <c:pt idx="0">
                  <c:v>Contract</c:v>
                </c:pt>
                <c:pt idx="1">
                  <c:v>Full-Time</c:v>
                </c:pt>
                <c:pt idx="2">
                  <c:v>Part-Time</c:v>
                </c:pt>
              </c:strCache>
            </c:strRef>
          </c:cat>
          <c:val>
            <c:numRef>
              <c:f>PivotTables!$C$11:$C$13</c:f>
              <c:numCache>
                <c:formatCode>General</c:formatCode>
                <c:ptCount val="3"/>
                <c:pt idx="0">
                  <c:v>17</c:v>
                </c:pt>
                <c:pt idx="1">
                  <c:v>20</c:v>
                </c:pt>
                <c:pt idx="2">
                  <c:v>13</c:v>
                </c:pt>
              </c:numCache>
            </c:numRef>
          </c:val>
          <c:extLst>
            <c:ext xmlns:c16="http://schemas.microsoft.com/office/drawing/2014/chart" uri="{C3380CC4-5D6E-409C-BE32-E72D297353CC}">
              <c16:uniqueId val="{00000006-FBF1-4739-BEAB-867F9A32907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svg"/><Relationship Id="rId13" Type="http://schemas.openxmlformats.org/officeDocument/2006/relationships/image" Target="../media/image8.svg"/><Relationship Id="rId18" Type="http://schemas.openxmlformats.org/officeDocument/2006/relationships/image" Target="../media/image13.png"/><Relationship Id="rId3" Type="http://schemas.openxmlformats.org/officeDocument/2006/relationships/chart" Target="../charts/chart3.xml"/><Relationship Id="rId21" Type="http://schemas.openxmlformats.org/officeDocument/2006/relationships/image" Target="../media/image15.png"/><Relationship Id="rId7" Type="http://schemas.openxmlformats.org/officeDocument/2006/relationships/image" Target="../media/image3.png"/><Relationship Id="rId12" Type="http://schemas.openxmlformats.org/officeDocument/2006/relationships/image" Target="../media/image7.png"/><Relationship Id="rId17" Type="http://schemas.openxmlformats.org/officeDocument/2006/relationships/image" Target="../media/image12.svg"/><Relationship Id="rId2" Type="http://schemas.openxmlformats.org/officeDocument/2006/relationships/chart" Target="../charts/chart2.xml"/><Relationship Id="rId16" Type="http://schemas.openxmlformats.org/officeDocument/2006/relationships/image" Target="../media/image11.png"/><Relationship Id="rId20" Type="http://schemas.openxmlformats.org/officeDocument/2006/relationships/chart" Target="../charts/chart6.xml"/><Relationship Id="rId1" Type="http://schemas.openxmlformats.org/officeDocument/2006/relationships/chart" Target="../charts/chart1.xml"/><Relationship Id="rId6" Type="http://schemas.openxmlformats.org/officeDocument/2006/relationships/image" Target="../media/image2.svg"/><Relationship Id="rId11" Type="http://schemas.openxmlformats.org/officeDocument/2006/relationships/chart" Target="../charts/chart5.xml"/><Relationship Id="rId5" Type="http://schemas.openxmlformats.org/officeDocument/2006/relationships/image" Target="../media/image1.png"/><Relationship Id="rId15" Type="http://schemas.openxmlformats.org/officeDocument/2006/relationships/image" Target="../media/image10.svg"/><Relationship Id="rId10" Type="http://schemas.openxmlformats.org/officeDocument/2006/relationships/image" Target="../media/image6.svg"/><Relationship Id="rId19" Type="http://schemas.openxmlformats.org/officeDocument/2006/relationships/image" Target="../media/image14.svg"/><Relationship Id="rId4" Type="http://schemas.openxmlformats.org/officeDocument/2006/relationships/chart" Target="../charts/chart4.xml"/><Relationship Id="rId9" Type="http://schemas.openxmlformats.org/officeDocument/2006/relationships/image" Target="../media/image5.png"/><Relationship Id="rId14" Type="http://schemas.openxmlformats.org/officeDocument/2006/relationships/image" Target="../media/image9.png"/><Relationship Id="rId22" Type="http://schemas.openxmlformats.org/officeDocument/2006/relationships/image" Target="../media/image16.svg"/></Relationships>
</file>

<file path=xl/drawings/drawing1.xml><?xml version="1.0" encoding="utf-8"?>
<xdr:wsDr xmlns:xdr="http://schemas.openxmlformats.org/drawingml/2006/spreadsheetDrawing" xmlns:a="http://schemas.openxmlformats.org/drawingml/2006/main">
  <xdr:twoCellAnchor>
    <xdr:from>
      <xdr:col>0</xdr:col>
      <xdr:colOff>158198</xdr:colOff>
      <xdr:row>0</xdr:row>
      <xdr:rowOff>6757</xdr:rowOff>
    </xdr:from>
    <xdr:to>
      <xdr:col>17</xdr:col>
      <xdr:colOff>272498</xdr:colOff>
      <xdr:row>35</xdr:row>
      <xdr:rowOff>77442</xdr:rowOff>
    </xdr:to>
    <xdr:sp macro="" textlink="">
      <xdr:nvSpPr>
        <xdr:cNvPr id="2" name="Rectangle: Rounded Corners 1">
          <a:extLst>
            <a:ext uri="{FF2B5EF4-FFF2-40B4-BE49-F238E27FC236}">
              <a16:creationId xmlns:a16="http://schemas.microsoft.com/office/drawing/2014/main" id="{8F5CEC4B-D4BB-CE1D-285E-98B945B6F1F8}"/>
            </a:ext>
          </a:extLst>
        </xdr:cNvPr>
        <xdr:cNvSpPr/>
      </xdr:nvSpPr>
      <xdr:spPr>
        <a:xfrm>
          <a:off x="158198" y="6757"/>
          <a:ext cx="10533822" cy="6738185"/>
        </a:xfrm>
        <a:prstGeom prst="roundRect">
          <a:avLst>
            <a:gd name="adj" fmla="val 2153"/>
          </a:avLst>
        </a:prstGeom>
        <a:solidFill>
          <a:schemeClr val="bg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403984</xdr:colOff>
      <xdr:row>14</xdr:row>
      <xdr:rowOff>6825</xdr:rowOff>
    </xdr:from>
    <xdr:to>
      <xdr:col>8</xdr:col>
      <xdr:colOff>418273</xdr:colOff>
      <xdr:row>23</xdr:row>
      <xdr:rowOff>152400</xdr:rowOff>
    </xdr:to>
    <xdr:grpSp>
      <xdr:nvGrpSpPr>
        <xdr:cNvPr id="1051" name="Group 1050">
          <a:extLst>
            <a:ext uri="{FF2B5EF4-FFF2-40B4-BE49-F238E27FC236}">
              <a16:creationId xmlns:a16="http://schemas.microsoft.com/office/drawing/2014/main" id="{2FD904A5-AD8A-A313-9D48-EEA2F84870A7}"/>
            </a:ext>
          </a:extLst>
        </xdr:cNvPr>
        <xdr:cNvGrpSpPr/>
      </xdr:nvGrpSpPr>
      <xdr:grpSpPr>
        <a:xfrm>
          <a:off x="2842384" y="2673825"/>
          <a:ext cx="2452689" cy="1860075"/>
          <a:chOff x="252412" y="2673825"/>
          <a:chExt cx="2460710" cy="1860075"/>
        </a:xfrm>
      </xdr:grpSpPr>
      <xdr:sp macro="" textlink="">
        <xdr:nvSpPr>
          <xdr:cNvPr id="6" name="Rectangle: Rounded Corners 5">
            <a:extLst>
              <a:ext uri="{FF2B5EF4-FFF2-40B4-BE49-F238E27FC236}">
                <a16:creationId xmlns:a16="http://schemas.microsoft.com/office/drawing/2014/main" id="{C54200ED-DF47-743A-9325-D46BD5234FBB}"/>
              </a:ext>
            </a:extLst>
          </xdr:cNvPr>
          <xdr:cNvSpPr/>
        </xdr:nvSpPr>
        <xdr:spPr>
          <a:xfrm>
            <a:off x="252412" y="2673825"/>
            <a:ext cx="2456006" cy="1860075"/>
          </a:xfrm>
          <a:prstGeom prst="roundRect">
            <a:avLst>
              <a:gd name="adj" fmla="val 8200"/>
            </a:avLst>
          </a:prstGeom>
          <a:solidFill>
            <a:schemeClr val="tx1">
              <a:lumMod val="65000"/>
              <a:lumOff val="3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61" name="Chart 60">
            <a:extLst>
              <a:ext uri="{FF2B5EF4-FFF2-40B4-BE49-F238E27FC236}">
                <a16:creationId xmlns:a16="http://schemas.microsoft.com/office/drawing/2014/main" id="{E5550D9F-9065-4824-AA79-E185CB42EF27}"/>
              </a:ext>
            </a:extLst>
          </xdr:cNvPr>
          <xdr:cNvGraphicFramePr>
            <a:graphicFrameLocks/>
          </xdr:cNvGraphicFramePr>
        </xdr:nvGraphicFramePr>
        <xdr:xfrm>
          <a:off x="304972" y="3334688"/>
          <a:ext cx="2408150" cy="1188718"/>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62" name="TextBox 61">
            <a:extLst>
              <a:ext uri="{FF2B5EF4-FFF2-40B4-BE49-F238E27FC236}">
                <a16:creationId xmlns:a16="http://schemas.microsoft.com/office/drawing/2014/main" id="{7B1CC4EE-0F27-32FE-10A5-36CEE884E2E5}"/>
              </a:ext>
            </a:extLst>
          </xdr:cNvPr>
          <xdr:cNvSpPr txBox="1"/>
        </xdr:nvSpPr>
        <xdr:spPr>
          <a:xfrm>
            <a:off x="959567" y="2703907"/>
            <a:ext cx="1003398"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a:r>
              <a:rPr lang="en-IN" sz="1400" b="1">
                <a:solidFill>
                  <a:schemeClr val="bg1">
                    <a:lumMod val="95000"/>
                  </a:schemeClr>
                </a:solidFill>
                <a:latin typeface="+mn-lt"/>
                <a:ea typeface="+mn-ea"/>
                <a:cs typeface="+mn-cs"/>
              </a:rPr>
              <a:t>Age</a:t>
            </a:r>
            <a:r>
              <a:rPr lang="en-IN" sz="1400" b="1">
                <a:solidFill>
                  <a:schemeClr val="bg1">
                    <a:lumMod val="95000"/>
                  </a:schemeClr>
                </a:solidFill>
              </a:rPr>
              <a:t> </a:t>
            </a:r>
            <a:r>
              <a:rPr lang="en-IN" sz="1400" b="1">
                <a:solidFill>
                  <a:schemeClr val="bg1">
                    <a:lumMod val="95000"/>
                  </a:schemeClr>
                </a:solidFill>
                <a:latin typeface="+mn-lt"/>
                <a:ea typeface="+mn-ea"/>
                <a:cs typeface="+mn-cs"/>
              </a:rPr>
              <a:t>Range</a:t>
            </a:r>
          </a:p>
        </xdr:txBody>
      </xdr:sp>
      <xdr:sp macro="" textlink="">
        <xdr:nvSpPr>
          <xdr:cNvPr id="64" name="TextBox 63">
            <a:extLst>
              <a:ext uri="{FF2B5EF4-FFF2-40B4-BE49-F238E27FC236}">
                <a16:creationId xmlns:a16="http://schemas.microsoft.com/office/drawing/2014/main" id="{DE80416C-3112-DEFF-3791-D99ADC8099B8}"/>
              </a:ext>
            </a:extLst>
          </xdr:cNvPr>
          <xdr:cNvSpPr txBox="1"/>
        </xdr:nvSpPr>
        <xdr:spPr>
          <a:xfrm>
            <a:off x="887896" y="2991291"/>
            <a:ext cx="55903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r"/>
            <a:r>
              <a:rPr lang="en-IN" sz="1100">
                <a:solidFill>
                  <a:srgbClr val="BDD7EE"/>
                </a:solidFill>
              </a:rPr>
              <a:t>Males</a:t>
            </a:r>
          </a:p>
        </xdr:txBody>
      </xdr:sp>
      <xdr:sp macro="" textlink="">
        <xdr:nvSpPr>
          <xdr:cNvPr id="65" name="Oval 64">
            <a:extLst>
              <a:ext uri="{FF2B5EF4-FFF2-40B4-BE49-F238E27FC236}">
                <a16:creationId xmlns:a16="http://schemas.microsoft.com/office/drawing/2014/main" id="{6D846258-B9D5-4FB2-A5FA-19D8E7774568}"/>
              </a:ext>
            </a:extLst>
          </xdr:cNvPr>
          <xdr:cNvSpPr/>
        </xdr:nvSpPr>
        <xdr:spPr>
          <a:xfrm>
            <a:off x="840116" y="3097534"/>
            <a:ext cx="105118" cy="83286"/>
          </a:xfrm>
          <a:prstGeom prst="ellipse">
            <a:avLst/>
          </a:prstGeom>
          <a:solidFill>
            <a:srgbClr val="BDD7E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6" name="TextBox 65">
            <a:extLst>
              <a:ext uri="{FF2B5EF4-FFF2-40B4-BE49-F238E27FC236}">
                <a16:creationId xmlns:a16="http://schemas.microsoft.com/office/drawing/2014/main" id="{1214B267-0C64-30BA-44A6-03CC2B0664A7}"/>
              </a:ext>
            </a:extLst>
          </xdr:cNvPr>
          <xdr:cNvSpPr txBox="1"/>
        </xdr:nvSpPr>
        <xdr:spPr>
          <a:xfrm>
            <a:off x="1604608" y="2979812"/>
            <a:ext cx="688043"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r"/>
            <a:r>
              <a:rPr lang="en-IN" sz="1100">
                <a:solidFill>
                  <a:srgbClr val="E5B9DD"/>
                </a:solidFill>
              </a:rPr>
              <a:t>Females</a:t>
            </a:r>
          </a:p>
        </xdr:txBody>
      </xdr:sp>
      <xdr:sp macro="" textlink="">
        <xdr:nvSpPr>
          <xdr:cNvPr id="67" name="Oval 66">
            <a:extLst>
              <a:ext uri="{FF2B5EF4-FFF2-40B4-BE49-F238E27FC236}">
                <a16:creationId xmlns:a16="http://schemas.microsoft.com/office/drawing/2014/main" id="{85E4EC63-A13A-7E41-D0FA-8AE807277B55}"/>
              </a:ext>
            </a:extLst>
          </xdr:cNvPr>
          <xdr:cNvSpPr/>
        </xdr:nvSpPr>
        <xdr:spPr>
          <a:xfrm>
            <a:off x="1566383" y="3086055"/>
            <a:ext cx="105118" cy="83286"/>
          </a:xfrm>
          <a:prstGeom prst="ellipse">
            <a:avLst/>
          </a:prstGeom>
          <a:solidFill>
            <a:srgbClr val="E5B9D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13</xdr:col>
      <xdr:colOff>66674</xdr:colOff>
      <xdr:row>24</xdr:row>
      <xdr:rowOff>57150</xdr:rowOff>
    </xdr:from>
    <xdr:to>
      <xdr:col>17</xdr:col>
      <xdr:colOff>57149</xdr:colOff>
      <xdr:row>34</xdr:row>
      <xdr:rowOff>180975</xdr:rowOff>
    </xdr:to>
    <xdr:grpSp>
      <xdr:nvGrpSpPr>
        <xdr:cNvPr id="103" name="Group 102">
          <a:extLst>
            <a:ext uri="{FF2B5EF4-FFF2-40B4-BE49-F238E27FC236}">
              <a16:creationId xmlns:a16="http://schemas.microsoft.com/office/drawing/2014/main" id="{695BDBD4-91CA-08BF-F5CA-A69E1AE95D8E}"/>
            </a:ext>
          </a:extLst>
        </xdr:cNvPr>
        <xdr:cNvGrpSpPr/>
      </xdr:nvGrpSpPr>
      <xdr:grpSpPr>
        <a:xfrm>
          <a:off x="7991474" y="4629150"/>
          <a:ext cx="2428875" cy="2028825"/>
          <a:chOff x="180975" y="1371600"/>
          <a:chExt cx="1908000" cy="2988000"/>
        </a:xfrm>
        <a:solidFill>
          <a:schemeClr val="tx1">
            <a:lumMod val="65000"/>
            <a:lumOff val="35000"/>
          </a:schemeClr>
        </a:solidFill>
      </xdr:grpSpPr>
      <xdr:sp macro="" textlink="">
        <xdr:nvSpPr>
          <xdr:cNvPr id="4" name="Rectangle: Rounded Corners 3">
            <a:extLst>
              <a:ext uri="{FF2B5EF4-FFF2-40B4-BE49-F238E27FC236}">
                <a16:creationId xmlns:a16="http://schemas.microsoft.com/office/drawing/2014/main" id="{DC480D9D-7165-6169-0743-1007A72A6AB3}"/>
              </a:ext>
            </a:extLst>
          </xdr:cNvPr>
          <xdr:cNvSpPr/>
        </xdr:nvSpPr>
        <xdr:spPr>
          <a:xfrm>
            <a:off x="180975" y="1371600"/>
            <a:ext cx="1908000" cy="2988000"/>
          </a:xfrm>
          <a:prstGeom prst="roundRect">
            <a:avLst>
              <a:gd name="adj" fmla="val 8200"/>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8" name="TextBox 27">
            <a:extLst>
              <a:ext uri="{FF2B5EF4-FFF2-40B4-BE49-F238E27FC236}">
                <a16:creationId xmlns:a16="http://schemas.microsoft.com/office/drawing/2014/main" id="{E9A6104F-67B0-9BF1-2AD7-815F1825C206}"/>
              </a:ext>
            </a:extLst>
          </xdr:cNvPr>
          <xdr:cNvSpPr txBox="1"/>
        </xdr:nvSpPr>
        <xdr:spPr>
          <a:xfrm>
            <a:off x="271462" y="2053647"/>
            <a:ext cx="1128713" cy="412679"/>
          </a:xfrm>
          <a:prstGeom prst="rect">
            <a:avLst/>
          </a:prstGeom>
          <a:grp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l"/>
            <a:r>
              <a:rPr lang="en-IN" sz="1200">
                <a:solidFill>
                  <a:schemeClr val="bg1"/>
                </a:solidFill>
              </a:rPr>
              <a:t>Communication</a:t>
            </a:r>
          </a:p>
        </xdr:txBody>
      </xdr:sp>
      <xdr:sp macro="" textlink="">
        <xdr:nvSpPr>
          <xdr:cNvPr id="29" name="TextBox 28">
            <a:extLst>
              <a:ext uri="{FF2B5EF4-FFF2-40B4-BE49-F238E27FC236}">
                <a16:creationId xmlns:a16="http://schemas.microsoft.com/office/drawing/2014/main" id="{17EAE814-52AD-A5E3-CBBD-1C7EDC182058}"/>
              </a:ext>
            </a:extLst>
          </xdr:cNvPr>
          <xdr:cNvSpPr txBox="1"/>
        </xdr:nvSpPr>
        <xdr:spPr>
          <a:xfrm>
            <a:off x="271462" y="2464049"/>
            <a:ext cx="1000127" cy="412679"/>
          </a:xfrm>
          <a:prstGeom prst="rect">
            <a:avLst/>
          </a:prstGeom>
          <a:grp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l"/>
            <a:r>
              <a:rPr lang="en-IN" sz="1200">
                <a:solidFill>
                  <a:schemeClr val="bg1"/>
                </a:solidFill>
              </a:rPr>
              <a:t>Design</a:t>
            </a:r>
          </a:p>
        </xdr:txBody>
      </xdr:sp>
      <xdr:sp macro="" textlink="">
        <xdr:nvSpPr>
          <xdr:cNvPr id="30" name="TextBox 29">
            <a:extLst>
              <a:ext uri="{FF2B5EF4-FFF2-40B4-BE49-F238E27FC236}">
                <a16:creationId xmlns:a16="http://schemas.microsoft.com/office/drawing/2014/main" id="{8B0135B4-0A30-7A56-6214-5BE86BAD3A0C}"/>
              </a:ext>
            </a:extLst>
          </xdr:cNvPr>
          <xdr:cNvSpPr txBox="1"/>
        </xdr:nvSpPr>
        <xdr:spPr>
          <a:xfrm>
            <a:off x="271462" y="2874451"/>
            <a:ext cx="1000127" cy="412679"/>
          </a:xfrm>
          <a:prstGeom prst="rect">
            <a:avLst/>
          </a:prstGeom>
          <a:grp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l"/>
            <a:r>
              <a:rPr lang="en-IN" sz="1200">
                <a:solidFill>
                  <a:schemeClr val="bg1"/>
                </a:solidFill>
              </a:rPr>
              <a:t>Excel</a:t>
            </a:r>
          </a:p>
        </xdr:txBody>
      </xdr:sp>
      <xdr:sp macro="" textlink="">
        <xdr:nvSpPr>
          <xdr:cNvPr id="31" name="TextBox 30">
            <a:extLst>
              <a:ext uri="{FF2B5EF4-FFF2-40B4-BE49-F238E27FC236}">
                <a16:creationId xmlns:a16="http://schemas.microsoft.com/office/drawing/2014/main" id="{E16D87FD-A669-624A-B3D0-71705195593A}"/>
              </a:ext>
            </a:extLst>
          </xdr:cNvPr>
          <xdr:cNvSpPr txBox="1"/>
        </xdr:nvSpPr>
        <xdr:spPr>
          <a:xfrm>
            <a:off x="271462" y="3284852"/>
            <a:ext cx="1000127" cy="412679"/>
          </a:xfrm>
          <a:prstGeom prst="rect">
            <a:avLst/>
          </a:prstGeom>
          <a:grp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l"/>
            <a:r>
              <a:rPr lang="en-IN" sz="1200">
                <a:solidFill>
                  <a:schemeClr val="bg1"/>
                </a:solidFill>
              </a:rPr>
              <a:t>Management</a:t>
            </a:r>
          </a:p>
        </xdr:txBody>
      </xdr:sp>
      <xdr:sp macro="" textlink="">
        <xdr:nvSpPr>
          <xdr:cNvPr id="32" name="TextBox 31">
            <a:extLst>
              <a:ext uri="{FF2B5EF4-FFF2-40B4-BE49-F238E27FC236}">
                <a16:creationId xmlns:a16="http://schemas.microsoft.com/office/drawing/2014/main" id="{F8D49853-82E1-ECDB-6F24-2C4DFC929AA9}"/>
              </a:ext>
            </a:extLst>
          </xdr:cNvPr>
          <xdr:cNvSpPr txBox="1"/>
        </xdr:nvSpPr>
        <xdr:spPr>
          <a:xfrm>
            <a:off x="271462" y="3695252"/>
            <a:ext cx="1000127" cy="412679"/>
          </a:xfrm>
          <a:prstGeom prst="rect">
            <a:avLst/>
          </a:prstGeom>
          <a:grp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l"/>
            <a:r>
              <a:rPr lang="en-IN" sz="1200">
                <a:solidFill>
                  <a:schemeClr val="bg1"/>
                </a:solidFill>
              </a:rPr>
              <a:t>Python</a:t>
            </a:r>
          </a:p>
        </xdr:txBody>
      </xdr:sp>
      <xdr:sp macro="" textlink="PivotTables!S13">
        <xdr:nvSpPr>
          <xdr:cNvPr id="54" name="TextBox 53">
            <a:extLst>
              <a:ext uri="{FF2B5EF4-FFF2-40B4-BE49-F238E27FC236}">
                <a16:creationId xmlns:a16="http://schemas.microsoft.com/office/drawing/2014/main" id="{998EBC1B-47C9-416C-BA65-2D7DB90F84F9}"/>
              </a:ext>
            </a:extLst>
          </xdr:cNvPr>
          <xdr:cNvSpPr txBox="1"/>
        </xdr:nvSpPr>
        <xdr:spPr>
          <a:xfrm>
            <a:off x="1216511" y="2084674"/>
            <a:ext cx="540000" cy="412679"/>
          </a:xfrm>
          <a:prstGeom prst="rect">
            <a:avLst/>
          </a:prstGeom>
          <a:grp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l"/>
            <a:fld id="{DD8728FD-9FF4-47A2-B24D-F2B3A7464261}" type="TxLink">
              <a:rPr lang="en-US" sz="1200" b="0" i="0" u="none" strike="noStrike">
                <a:solidFill>
                  <a:schemeClr val="bg1"/>
                </a:solidFill>
                <a:latin typeface="Calibri"/>
                <a:ea typeface="Calibri"/>
                <a:cs typeface="Calibri"/>
              </a:rPr>
              <a:pPr algn="l"/>
              <a:t>12</a:t>
            </a:fld>
            <a:endParaRPr lang="en-IN" sz="1200">
              <a:solidFill>
                <a:schemeClr val="bg1"/>
              </a:solidFill>
            </a:endParaRPr>
          </a:p>
        </xdr:txBody>
      </xdr:sp>
      <xdr:sp macro="" textlink="PivotTables!S14">
        <xdr:nvSpPr>
          <xdr:cNvPr id="57" name="TextBox 56">
            <a:extLst>
              <a:ext uri="{FF2B5EF4-FFF2-40B4-BE49-F238E27FC236}">
                <a16:creationId xmlns:a16="http://schemas.microsoft.com/office/drawing/2014/main" id="{2D1ADBA0-E749-1505-8795-D6A46A96E465}"/>
              </a:ext>
            </a:extLst>
          </xdr:cNvPr>
          <xdr:cNvSpPr txBox="1"/>
        </xdr:nvSpPr>
        <xdr:spPr>
          <a:xfrm>
            <a:off x="1216511" y="2491569"/>
            <a:ext cx="540000" cy="412679"/>
          </a:xfrm>
          <a:prstGeom prst="rect">
            <a:avLst/>
          </a:prstGeom>
          <a:grp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lgn="l"/>
            <a:fld id="{460B9A88-B524-47CC-B674-773794F38648}" type="TxLink">
              <a:rPr lang="en-US" sz="1200" b="0" i="0" u="none" strike="noStrike">
                <a:solidFill>
                  <a:schemeClr val="bg1"/>
                </a:solidFill>
                <a:latin typeface="Calibri"/>
                <a:ea typeface="Calibri"/>
                <a:cs typeface="Calibri"/>
              </a:rPr>
              <a:pPr marL="0" indent="0" algn="l"/>
              <a:t>11</a:t>
            </a:fld>
            <a:endParaRPr lang="en-IN" sz="1200" b="0" i="0" u="none" strike="noStrike">
              <a:solidFill>
                <a:schemeClr val="bg1"/>
              </a:solidFill>
              <a:latin typeface="Calibri"/>
              <a:ea typeface="Calibri"/>
              <a:cs typeface="Calibri"/>
            </a:endParaRPr>
          </a:p>
        </xdr:txBody>
      </xdr:sp>
      <xdr:sp macro="" textlink="PivotTables!S15">
        <xdr:nvSpPr>
          <xdr:cNvPr id="68" name="TextBox 67">
            <a:extLst>
              <a:ext uri="{FF2B5EF4-FFF2-40B4-BE49-F238E27FC236}">
                <a16:creationId xmlns:a16="http://schemas.microsoft.com/office/drawing/2014/main" id="{7AF4085B-FD05-65D2-0256-4ADF6BD1E4EB}"/>
              </a:ext>
            </a:extLst>
          </xdr:cNvPr>
          <xdr:cNvSpPr txBox="1"/>
        </xdr:nvSpPr>
        <xdr:spPr>
          <a:xfrm>
            <a:off x="1216511" y="2898464"/>
            <a:ext cx="540000" cy="412679"/>
          </a:xfrm>
          <a:prstGeom prst="rect">
            <a:avLst/>
          </a:prstGeom>
          <a:grp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lgn="l"/>
            <a:fld id="{90330A4B-E34D-4CE6-9C3E-103FA8793DDD}" type="TxLink">
              <a:rPr lang="en-US" sz="1200" b="0" i="0" u="none" strike="noStrike">
                <a:solidFill>
                  <a:schemeClr val="bg1"/>
                </a:solidFill>
                <a:latin typeface="Calibri"/>
                <a:ea typeface="Calibri"/>
                <a:cs typeface="Calibri"/>
              </a:rPr>
              <a:pPr marL="0" indent="0" algn="l"/>
              <a:t>7</a:t>
            </a:fld>
            <a:endParaRPr lang="en-IN" sz="1200" b="0" i="0" u="none" strike="noStrike">
              <a:solidFill>
                <a:schemeClr val="bg1"/>
              </a:solidFill>
              <a:latin typeface="Calibri"/>
              <a:ea typeface="Calibri"/>
              <a:cs typeface="Calibri"/>
            </a:endParaRPr>
          </a:p>
        </xdr:txBody>
      </xdr:sp>
      <xdr:sp macro="" textlink="PivotTables!S16">
        <xdr:nvSpPr>
          <xdr:cNvPr id="69" name="TextBox 68">
            <a:extLst>
              <a:ext uri="{FF2B5EF4-FFF2-40B4-BE49-F238E27FC236}">
                <a16:creationId xmlns:a16="http://schemas.microsoft.com/office/drawing/2014/main" id="{90945829-7BBE-A261-195F-B83B5908502C}"/>
              </a:ext>
            </a:extLst>
          </xdr:cNvPr>
          <xdr:cNvSpPr txBox="1"/>
        </xdr:nvSpPr>
        <xdr:spPr>
          <a:xfrm>
            <a:off x="1216511" y="3305359"/>
            <a:ext cx="540000" cy="412679"/>
          </a:xfrm>
          <a:prstGeom prst="rect">
            <a:avLst/>
          </a:prstGeom>
          <a:grp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lgn="l"/>
            <a:fld id="{2A6FA136-D55C-4252-8246-D2C63A040BFD}" type="TxLink">
              <a:rPr lang="en-US" sz="1200" b="0" i="0" u="none" strike="noStrike">
                <a:solidFill>
                  <a:schemeClr val="bg1"/>
                </a:solidFill>
                <a:latin typeface="Calibri"/>
                <a:ea typeface="Calibri"/>
                <a:cs typeface="Calibri"/>
              </a:rPr>
              <a:pPr marL="0" indent="0" algn="l"/>
              <a:t>11</a:t>
            </a:fld>
            <a:endParaRPr lang="en-IN" sz="1200" b="0" i="0" u="none" strike="noStrike">
              <a:solidFill>
                <a:schemeClr val="bg1"/>
              </a:solidFill>
              <a:latin typeface="Calibri"/>
              <a:ea typeface="Calibri"/>
              <a:cs typeface="Calibri"/>
            </a:endParaRPr>
          </a:p>
        </xdr:txBody>
      </xdr:sp>
      <xdr:sp macro="" textlink="PivotTables!S17">
        <xdr:nvSpPr>
          <xdr:cNvPr id="70" name="TextBox 69">
            <a:extLst>
              <a:ext uri="{FF2B5EF4-FFF2-40B4-BE49-F238E27FC236}">
                <a16:creationId xmlns:a16="http://schemas.microsoft.com/office/drawing/2014/main" id="{8A8D3DE9-5F66-BF78-C690-CB48A9754101}"/>
              </a:ext>
            </a:extLst>
          </xdr:cNvPr>
          <xdr:cNvSpPr txBox="1"/>
        </xdr:nvSpPr>
        <xdr:spPr>
          <a:xfrm>
            <a:off x="1216511" y="3712253"/>
            <a:ext cx="540000" cy="412679"/>
          </a:xfrm>
          <a:prstGeom prst="rect">
            <a:avLst/>
          </a:prstGeom>
          <a:grp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lgn="l"/>
            <a:fld id="{1138D07B-0E88-4823-B958-1DF53C6C459E}" type="TxLink">
              <a:rPr lang="en-US" sz="1200" b="0" i="0" u="none" strike="noStrike">
                <a:solidFill>
                  <a:schemeClr val="bg1"/>
                </a:solidFill>
                <a:latin typeface="Calibri"/>
                <a:ea typeface="Calibri"/>
                <a:cs typeface="Calibri"/>
              </a:rPr>
              <a:pPr marL="0" indent="0" algn="l"/>
              <a:t>9</a:t>
            </a:fld>
            <a:endParaRPr lang="en-IN" sz="1200" b="0" i="0" u="none" strike="noStrike">
              <a:solidFill>
                <a:schemeClr val="bg1"/>
              </a:solidFill>
              <a:latin typeface="Calibri"/>
              <a:ea typeface="Calibri"/>
              <a:cs typeface="Calibri"/>
            </a:endParaRPr>
          </a:p>
        </xdr:txBody>
      </xdr:sp>
      <xdr:sp macro="" textlink="">
        <xdr:nvSpPr>
          <xdr:cNvPr id="71" name="TextBox 70">
            <a:extLst>
              <a:ext uri="{FF2B5EF4-FFF2-40B4-BE49-F238E27FC236}">
                <a16:creationId xmlns:a16="http://schemas.microsoft.com/office/drawing/2014/main" id="{96B89C02-DB3D-793B-E9F0-388DEDA0D340}"/>
              </a:ext>
            </a:extLst>
          </xdr:cNvPr>
          <xdr:cNvSpPr txBox="1"/>
        </xdr:nvSpPr>
        <xdr:spPr>
          <a:xfrm>
            <a:off x="457166" y="1429157"/>
            <a:ext cx="1175386" cy="419400"/>
          </a:xfrm>
          <a:prstGeom prst="rect">
            <a:avLst/>
          </a:prstGeom>
          <a:grp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a:r>
              <a:rPr lang="en-IN" sz="1400" b="1">
                <a:solidFill>
                  <a:schemeClr val="bg1"/>
                </a:solidFill>
              </a:rPr>
              <a:t>Skills Breakdown</a:t>
            </a:r>
            <a:endParaRPr lang="en-IN" sz="1200" b="1">
              <a:solidFill>
                <a:schemeClr val="bg1"/>
              </a:solidFill>
            </a:endParaRPr>
          </a:p>
        </xdr:txBody>
      </xdr:sp>
    </xdr:grpSp>
    <xdr:clientData/>
  </xdr:twoCellAnchor>
  <xdr:twoCellAnchor>
    <xdr:from>
      <xdr:col>0</xdr:col>
      <xdr:colOff>254912</xdr:colOff>
      <xdr:row>13</xdr:row>
      <xdr:rowOff>186448</xdr:rowOff>
    </xdr:from>
    <xdr:to>
      <xdr:col>2</xdr:col>
      <xdr:colOff>153077</xdr:colOff>
      <xdr:row>23</xdr:row>
      <xdr:rowOff>136750</xdr:rowOff>
    </xdr:to>
    <xdr:sp macro="" textlink="">
      <xdr:nvSpPr>
        <xdr:cNvPr id="11" name="Rectangle: Rounded Corners 10">
          <a:extLst>
            <a:ext uri="{FF2B5EF4-FFF2-40B4-BE49-F238E27FC236}">
              <a16:creationId xmlns:a16="http://schemas.microsoft.com/office/drawing/2014/main" id="{435BB2D8-09FA-C30F-9B3E-D8BC3F17AB3F}"/>
            </a:ext>
          </a:extLst>
        </xdr:cNvPr>
        <xdr:cNvSpPr/>
      </xdr:nvSpPr>
      <xdr:spPr>
        <a:xfrm>
          <a:off x="254912" y="2662948"/>
          <a:ext cx="1117365" cy="1855302"/>
        </a:xfrm>
        <a:prstGeom prst="roundRect">
          <a:avLst>
            <a:gd name="adj" fmla="val 8200"/>
          </a:avLst>
        </a:prstGeom>
        <a:solidFill>
          <a:schemeClr val="tx1">
            <a:lumMod val="65000"/>
            <a:lumOff val="3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496305</xdr:colOff>
      <xdr:row>14</xdr:row>
      <xdr:rowOff>65293</xdr:rowOff>
    </xdr:from>
    <xdr:to>
      <xdr:col>2</xdr:col>
      <xdr:colOff>17319</xdr:colOff>
      <xdr:row>15</xdr:row>
      <xdr:rowOff>151535</xdr:rowOff>
    </xdr:to>
    <xdr:sp macro="" textlink="">
      <xdr:nvSpPr>
        <xdr:cNvPr id="81" name="TextBox 80">
          <a:extLst>
            <a:ext uri="{FF2B5EF4-FFF2-40B4-BE49-F238E27FC236}">
              <a16:creationId xmlns:a16="http://schemas.microsoft.com/office/drawing/2014/main" id="{0A09F8CB-4D0F-61E0-44B8-25073674D498}"/>
            </a:ext>
          </a:extLst>
        </xdr:cNvPr>
        <xdr:cNvSpPr txBox="1"/>
      </xdr:nvSpPr>
      <xdr:spPr>
        <a:xfrm>
          <a:off x="496305" y="2732293"/>
          <a:ext cx="741946" cy="27674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a:r>
            <a:rPr lang="en-IN" sz="1400" b="1">
              <a:solidFill>
                <a:schemeClr val="bg1"/>
              </a:solidFill>
              <a:latin typeface="+mn-lt"/>
              <a:ea typeface="+mn-ea"/>
              <a:cs typeface="+mn-cs"/>
            </a:rPr>
            <a:t>Males</a:t>
          </a:r>
        </a:p>
      </xdr:txBody>
    </xdr:sp>
    <xdr:clientData/>
  </xdr:twoCellAnchor>
  <xdr:twoCellAnchor>
    <xdr:from>
      <xdr:col>0</xdr:col>
      <xdr:colOff>294316</xdr:colOff>
      <xdr:row>18</xdr:row>
      <xdr:rowOff>134216</xdr:rowOff>
    </xdr:from>
    <xdr:to>
      <xdr:col>2</xdr:col>
      <xdr:colOff>116898</xdr:colOff>
      <xdr:row>23</xdr:row>
      <xdr:rowOff>64943</xdr:rowOff>
    </xdr:to>
    <xdr:graphicFrame macro="">
      <xdr:nvGraphicFramePr>
        <xdr:cNvPr id="83" name="Chart 82">
          <a:extLst>
            <a:ext uri="{FF2B5EF4-FFF2-40B4-BE49-F238E27FC236}">
              <a16:creationId xmlns:a16="http://schemas.microsoft.com/office/drawing/2014/main" id="{2FE04922-2F3F-41CF-80C9-3415D52DA8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560916</xdr:colOff>
      <xdr:row>20</xdr:row>
      <xdr:rowOff>34328</xdr:rowOff>
    </xdr:from>
    <xdr:to>
      <xdr:col>1</xdr:col>
      <xdr:colOff>415636</xdr:colOff>
      <xdr:row>21</xdr:row>
      <xdr:rowOff>73603</xdr:rowOff>
    </xdr:to>
    <xdr:sp macro="" textlink="PivotTables!J22">
      <xdr:nvSpPr>
        <xdr:cNvPr id="88" name="TextBox 87">
          <a:extLst>
            <a:ext uri="{FF2B5EF4-FFF2-40B4-BE49-F238E27FC236}">
              <a16:creationId xmlns:a16="http://schemas.microsoft.com/office/drawing/2014/main" id="{4C1F2BFB-7C83-A888-2C19-0E755D2CE1B5}"/>
            </a:ext>
          </a:extLst>
        </xdr:cNvPr>
        <xdr:cNvSpPr txBox="1"/>
      </xdr:nvSpPr>
      <xdr:spPr>
        <a:xfrm>
          <a:off x="560916" y="3844328"/>
          <a:ext cx="465186" cy="2297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a:fld id="{D443D505-1310-4460-B669-4B1F8F132C99}" type="TxLink">
            <a:rPr lang="en-US" sz="1100" b="1" i="0" u="none" strike="noStrike">
              <a:solidFill>
                <a:schemeClr val="bg1"/>
              </a:solidFill>
              <a:latin typeface="Calibri"/>
              <a:ea typeface="Calibri"/>
              <a:cs typeface="Calibri"/>
            </a:rPr>
            <a:pPr algn="l"/>
            <a:t>48%</a:t>
          </a:fld>
          <a:endParaRPr lang="en-IN" sz="1100">
            <a:solidFill>
              <a:schemeClr val="bg1"/>
            </a:solidFill>
          </a:endParaRPr>
        </a:p>
      </xdr:txBody>
    </xdr:sp>
    <xdr:clientData/>
  </xdr:twoCellAnchor>
  <xdr:twoCellAnchor>
    <xdr:from>
      <xdr:col>2</xdr:col>
      <xdr:colOff>333748</xdr:colOff>
      <xdr:row>14</xdr:row>
      <xdr:rowOff>0</xdr:rowOff>
    </xdr:from>
    <xdr:to>
      <xdr:col>4</xdr:col>
      <xdr:colOff>231913</xdr:colOff>
      <xdr:row>23</xdr:row>
      <xdr:rowOff>140804</xdr:rowOff>
    </xdr:to>
    <xdr:sp macro="" textlink="">
      <xdr:nvSpPr>
        <xdr:cNvPr id="12" name="Rectangle: Rounded Corners 11">
          <a:extLst>
            <a:ext uri="{FF2B5EF4-FFF2-40B4-BE49-F238E27FC236}">
              <a16:creationId xmlns:a16="http://schemas.microsoft.com/office/drawing/2014/main" id="{85D70173-388C-7510-76C6-0D6B1DCF0D3C}"/>
            </a:ext>
          </a:extLst>
        </xdr:cNvPr>
        <xdr:cNvSpPr/>
      </xdr:nvSpPr>
      <xdr:spPr>
        <a:xfrm>
          <a:off x="1552948" y="2667000"/>
          <a:ext cx="1117365" cy="1855304"/>
        </a:xfrm>
        <a:prstGeom prst="roundRect">
          <a:avLst>
            <a:gd name="adj" fmla="val 8200"/>
          </a:avLst>
        </a:prstGeom>
        <a:solidFill>
          <a:schemeClr val="tx1">
            <a:lumMod val="65000"/>
            <a:lumOff val="3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469292</xdr:colOff>
      <xdr:row>14</xdr:row>
      <xdr:rowOff>31151</xdr:rowOff>
    </xdr:from>
    <xdr:to>
      <xdr:col>4</xdr:col>
      <xdr:colOff>79450</xdr:colOff>
      <xdr:row>16</xdr:row>
      <xdr:rowOff>146643</xdr:rowOff>
    </xdr:to>
    <xdr:sp macro="" textlink="">
      <xdr:nvSpPr>
        <xdr:cNvPr id="82" name="TextBox 81">
          <a:extLst>
            <a:ext uri="{FF2B5EF4-FFF2-40B4-BE49-F238E27FC236}">
              <a16:creationId xmlns:a16="http://schemas.microsoft.com/office/drawing/2014/main" id="{DA1C46DD-F7A1-0CB4-F796-C428DA24E9D5}"/>
            </a:ext>
          </a:extLst>
        </xdr:cNvPr>
        <xdr:cNvSpPr txBox="1"/>
      </xdr:nvSpPr>
      <xdr:spPr>
        <a:xfrm>
          <a:off x="1690224" y="2698151"/>
          <a:ext cx="831090" cy="496492"/>
        </a:xfrm>
        <a:prstGeom prst="rect">
          <a:avLst/>
        </a:prstGeom>
        <a:solidFill>
          <a:schemeClr val="tx1">
            <a:lumMod val="65000"/>
            <a:lumOff val="3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a:r>
            <a:rPr lang="en-IN" sz="1400" b="1">
              <a:solidFill>
                <a:schemeClr val="bg1"/>
              </a:solidFill>
              <a:latin typeface="+mn-lt"/>
              <a:ea typeface="+mn-ea"/>
              <a:cs typeface="+mn-cs"/>
            </a:rPr>
            <a:t>Females</a:t>
          </a:r>
        </a:p>
      </xdr:txBody>
    </xdr:sp>
    <xdr:clientData/>
  </xdr:twoCellAnchor>
  <xdr:twoCellAnchor>
    <xdr:from>
      <xdr:col>2</xdr:col>
      <xdr:colOff>371579</xdr:colOff>
      <xdr:row>18</xdr:row>
      <xdr:rowOff>125771</xdr:rowOff>
    </xdr:from>
    <xdr:to>
      <xdr:col>4</xdr:col>
      <xdr:colOff>194647</xdr:colOff>
      <xdr:row>23</xdr:row>
      <xdr:rowOff>55271</xdr:rowOff>
    </xdr:to>
    <xdr:graphicFrame macro="">
      <xdr:nvGraphicFramePr>
        <xdr:cNvPr id="85" name="Chart 84">
          <a:extLst>
            <a:ext uri="{FF2B5EF4-FFF2-40B4-BE49-F238E27FC236}">
              <a16:creationId xmlns:a16="http://schemas.microsoft.com/office/drawing/2014/main" id="{BF6DF3C3-BF90-46DD-8D18-1B466F0035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23668</xdr:colOff>
      <xdr:row>20</xdr:row>
      <xdr:rowOff>26932</xdr:rowOff>
    </xdr:from>
    <xdr:to>
      <xdr:col>3</xdr:col>
      <xdr:colOff>471919</xdr:colOff>
      <xdr:row>21</xdr:row>
      <xdr:rowOff>82261</xdr:rowOff>
    </xdr:to>
    <xdr:sp macro="" textlink="PivotTables!J23">
      <xdr:nvSpPr>
        <xdr:cNvPr id="89" name="TextBox 88">
          <a:extLst>
            <a:ext uri="{FF2B5EF4-FFF2-40B4-BE49-F238E27FC236}">
              <a16:creationId xmlns:a16="http://schemas.microsoft.com/office/drawing/2014/main" id="{CB1720B6-6D06-82EC-293C-2FF6E9232646}"/>
            </a:ext>
          </a:extLst>
        </xdr:cNvPr>
        <xdr:cNvSpPr txBox="1"/>
      </xdr:nvSpPr>
      <xdr:spPr>
        <a:xfrm>
          <a:off x="1855066" y="3836932"/>
          <a:ext cx="448251" cy="2458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a:fld id="{2FD08AD0-710D-4C07-80F9-20E7EFB1245C}" type="TxLink">
            <a:rPr lang="en-US" sz="1100" b="1" i="0" u="none" strike="noStrike">
              <a:solidFill>
                <a:schemeClr val="bg1"/>
              </a:solidFill>
              <a:latin typeface="Calibri"/>
              <a:ea typeface="Calibri"/>
              <a:cs typeface="Calibri"/>
            </a:rPr>
            <a:pPr algn="l"/>
            <a:t>52%</a:t>
          </a:fld>
          <a:endParaRPr lang="en-IN" sz="1100">
            <a:solidFill>
              <a:schemeClr val="bg1"/>
            </a:solidFill>
          </a:endParaRPr>
        </a:p>
      </xdr:txBody>
    </xdr:sp>
    <xdr:clientData/>
  </xdr:twoCellAnchor>
  <xdr:twoCellAnchor>
    <xdr:from>
      <xdr:col>8</xdr:col>
      <xdr:colOff>525325</xdr:colOff>
      <xdr:row>14</xdr:row>
      <xdr:rowOff>13020</xdr:rowOff>
    </xdr:from>
    <xdr:to>
      <xdr:col>12</xdr:col>
      <xdr:colOff>563217</xdr:colOff>
      <xdr:row>23</xdr:row>
      <xdr:rowOff>157370</xdr:rowOff>
    </xdr:to>
    <xdr:grpSp>
      <xdr:nvGrpSpPr>
        <xdr:cNvPr id="1050" name="Group 1049">
          <a:extLst>
            <a:ext uri="{FF2B5EF4-FFF2-40B4-BE49-F238E27FC236}">
              <a16:creationId xmlns:a16="http://schemas.microsoft.com/office/drawing/2014/main" id="{4F1FA7C7-9879-5A7B-DDCB-C77D1D70A149}"/>
            </a:ext>
          </a:extLst>
        </xdr:cNvPr>
        <xdr:cNvGrpSpPr/>
      </xdr:nvGrpSpPr>
      <xdr:grpSpPr>
        <a:xfrm>
          <a:off x="5402125" y="2680020"/>
          <a:ext cx="2476292" cy="1858850"/>
          <a:chOff x="2822658" y="2680020"/>
          <a:chExt cx="2536909" cy="1872930"/>
        </a:xfrm>
      </xdr:grpSpPr>
      <xdr:sp macro="" textlink="">
        <xdr:nvSpPr>
          <xdr:cNvPr id="19" name="Rectangle: Rounded Corners 18">
            <a:extLst>
              <a:ext uri="{FF2B5EF4-FFF2-40B4-BE49-F238E27FC236}">
                <a16:creationId xmlns:a16="http://schemas.microsoft.com/office/drawing/2014/main" id="{B3BAAE79-4787-6B8F-19D1-5B618CA02322}"/>
              </a:ext>
            </a:extLst>
          </xdr:cNvPr>
          <xdr:cNvSpPr/>
        </xdr:nvSpPr>
        <xdr:spPr>
          <a:xfrm>
            <a:off x="2822658" y="2680020"/>
            <a:ext cx="2536909" cy="1871403"/>
          </a:xfrm>
          <a:prstGeom prst="roundRect">
            <a:avLst>
              <a:gd name="adj" fmla="val 8200"/>
            </a:avLst>
          </a:prstGeom>
          <a:solidFill>
            <a:schemeClr val="tx1">
              <a:lumMod val="65000"/>
              <a:lumOff val="3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72" name="Chart 71">
            <a:extLst>
              <a:ext uri="{FF2B5EF4-FFF2-40B4-BE49-F238E27FC236}">
                <a16:creationId xmlns:a16="http://schemas.microsoft.com/office/drawing/2014/main" id="{2E6FC30A-89E8-4CDF-940A-C3EA38226D62}"/>
              </a:ext>
            </a:extLst>
          </xdr:cNvPr>
          <xdr:cNvGraphicFramePr>
            <a:graphicFrameLocks/>
          </xdr:cNvGraphicFramePr>
        </xdr:nvGraphicFramePr>
        <xdr:xfrm>
          <a:off x="2912979" y="3050787"/>
          <a:ext cx="2348333" cy="1502163"/>
        </xdr:xfrm>
        <a:graphic>
          <a:graphicData uri="http://schemas.openxmlformats.org/drawingml/2006/chart">
            <c:chart xmlns:c="http://schemas.openxmlformats.org/drawingml/2006/chart" xmlns:r="http://schemas.openxmlformats.org/officeDocument/2006/relationships" r:id="rId4"/>
          </a:graphicData>
        </a:graphic>
      </xdr:graphicFrame>
      <xdr:sp macro="" textlink="">
        <xdr:nvSpPr>
          <xdr:cNvPr id="84" name="TextBox 83">
            <a:extLst>
              <a:ext uri="{FF2B5EF4-FFF2-40B4-BE49-F238E27FC236}">
                <a16:creationId xmlns:a16="http://schemas.microsoft.com/office/drawing/2014/main" id="{65C071E8-C339-A5E9-6360-224BEFC40E7D}"/>
              </a:ext>
            </a:extLst>
          </xdr:cNvPr>
          <xdr:cNvSpPr txBox="1"/>
        </xdr:nvSpPr>
        <xdr:spPr>
          <a:xfrm>
            <a:off x="2899239" y="2724483"/>
            <a:ext cx="2400508" cy="297512"/>
          </a:xfrm>
          <a:prstGeom prst="rect">
            <a:avLst/>
          </a:prstGeom>
          <a:solidFill>
            <a:schemeClr val="tx1">
              <a:lumMod val="65000"/>
              <a:lumOff val="3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a:r>
              <a:rPr lang="en-IN" sz="1200" b="1">
                <a:solidFill>
                  <a:schemeClr val="bg1">
                    <a:lumMod val="95000"/>
                  </a:schemeClr>
                </a:solidFill>
                <a:latin typeface="+mn-lt"/>
                <a:ea typeface="+mn-ea"/>
                <a:cs typeface="+mn-cs"/>
              </a:rPr>
              <a:t>Number</a:t>
            </a:r>
            <a:r>
              <a:rPr lang="en-IN" sz="1200" b="1" baseline="0">
                <a:solidFill>
                  <a:schemeClr val="bg1">
                    <a:lumMod val="95000"/>
                  </a:schemeClr>
                </a:solidFill>
                <a:latin typeface="+mn-lt"/>
                <a:ea typeface="+mn-ea"/>
                <a:cs typeface="+mn-cs"/>
              </a:rPr>
              <a:t> of Employees by </a:t>
            </a:r>
            <a:r>
              <a:rPr lang="en-IN" sz="1200" b="1">
                <a:solidFill>
                  <a:schemeClr val="bg1">
                    <a:lumMod val="95000"/>
                  </a:schemeClr>
                </a:solidFill>
                <a:latin typeface="+mn-lt"/>
                <a:ea typeface="+mn-ea"/>
                <a:cs typeface="+mn-cs"/>
              </a:rPr>
              <a:t>Regions</a:t>
            </a:r>
          </a:p>
        </xdr:txBody>
      </xdr:sp>
    </xdr:grpSp>
    <xdr:clientData/>
  </xdr:twoCellAnchor>
  <xdr:twoCellAnchor>
    <xdr:from>
      <xdr:col>13</xdr:col>
      <xdr:colOff>57977</xdr:colOff>
      <xdr:row>7</xdr:row>
      <xdr:rowOff>85845</xdr:rowOff>
    </xdr:from>
    <xdr:to>
      <xdr:col>17</xdr:col>
      <xdr:colOff>28574</xdr:colOff>
      <xdr:row>13</xdr:row>
      <xdr:rowOff>107675</xdr:rowOff>
    </xdr:to>
    <xdr:grpSp>
      <xdr:nvGrpSpPr>
        <xdr:cNvPr id="102" name="Group 101">
          <a:extLst>
            <a:ext uri="{FF2B5EF4-FFF2-40B4-BE49-F238E27FC236}">
              <a16:creationId xmlns:a16="http://schemas.microsoft.com/office/drawing/2014/main" id="{14653DBB-DB82-FABD-3DC6-34BB8511FD74}"/>
            </a:ext>
          </a:extLst>
        </xdr:cNvPr>
        <xdr:cNvGrpSpPr/>
      </xdr:nvGrpSpPr>
      <xdr:grpSpPr>
        <a:xfrm>
          <a:off x="7982777" y="1419345"/>
          <a:ext cx="2408997" cy="1164830"/>
          <a:chOff x="7710487" y="342899"/>
          <a:chExt cx="2541600" cy="1276351"/>
        </a:xfrm>
      </xdr:grpSpPr>
      <xdr:sp macro="" textlink="">
        <xdr:nvSpPr>
          <xdr:cNvPr id="20" name="Rectangle: Rounded Corners 19">
            <a:extLst>
              <a:ext uri="{FF2B5EF4-FFF2-40B4-BE49-F238E27FC236}">
                <a16:creationId xmlns:a16="http://schemas.microsoft.com/office/drawing/2014/main" id="{A6CD7509-F6C9-0B8E-3978-B59EAE908DDC}"/>
              </a:ext>
            </a:extLst>
          </xdr:cNvPr>
          <xdr:cNvSpPr/>
        </xdr:nvSpPr>
        <xdr:spPr>
          <a:xfrm>
            <a:off x="7710487" y="342899"/>
            <a:ext cx="2541600" cy="1276351"/>
          </a:xfrm>
          <a:prstGeom prst="roundRect">
            <a:avLst>
              <a:gd name="adj" fmla="val 8200"/>
            </a:avLst>
          </a:prstGeom>
          <a:solidFill>
            <a:schemeClr val="tx1">
              <a:lumMod val="65000"/>
              <a:lumOff val="3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PivotTables!AB18">
        <xdr:nvSpPr>
          <xdr:cNvPr id="87" name="TextBox 86">
            <a:extLst>
              <a:ext uri="{FF2B5EF4-FFF2-40B4-BE49-F238E27FC236}">
                <a16:creationId xmlns:a16="http://schemas.microsoft.com/office/drawing/2014/main" id="{5DF4C8FB-7911-E43A-3D02-1A58D76B439C}"/>
              </a:ext>
            </a:extLst>
          </xdr:cNvPr>
          <xdr:cNvSpPr txBox="1"/>
        </xdr:nvSpPr>
        <xdr:spPr>
          <a:xfrm>
            <a:off x="9063037" y="663617"/>
            <a:ext cx="1000127" cy="7872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lgn="l"/>
            <a:fld id="{55501ABA-BD09-412F-8386-CC86C59469EF}" type="TxLink">
              <a:rPr lang="en-US" sz="4000" b="1" i="0" u="none" strike="noStrike">
                <a:solidFill>
                  <a:schemeClr val="bg1"/>
                </a:solidFill>
                <a:latin typeface="Calibri"/>
                <a:ea typeface="Calibri"/>
                <a:cs typeface="Calibri"/>
              </a:rPr>
              <a:pPr marL="0" indent="0" algn="l"/>
              <a:t>2.6</a:t>
            </a:fld>
            <a:endParaRPr lang="en-IN" sz="4000" b="1" i="0" u="none" strike="noStrike">
              <a:solidFill>
                <a:schemeClr val="bg1"/>
              </a:solidFill>
              <a:latin typeface="Calibri"/>
              <a:ea typeface="Calibri"/>
              <a:cs typeface="Calibri"/>
            </a:endParaRPr>
          </a:p>
        </xdr:txBody>
      </xdr:sp>
      <xdr:sp macro="" textlink="">
        <xdr:nvSpPr>
          <xdr:cNvPr id="92" name="TextBox 91">
            <a:extLst>
              <a:ext uri="{FF2B5EF4-FFF2-40B4-BE49-F238E27FC236}">
                <a16:creationId xmlns:a16="http://schemas.microsoft.com/office/drawing/2014/main" id="{7A279F85-2FA1-BE3A-094C-F7E4233BFAC0}"/>
              </a:ext>
            </a:extLst>
          </xdr:cNvPr>
          <xdr:cNvSpPr txBox="1"/>
        </xdr:nvSpPr>
        <xdr:spPr>
          <a:xfrm>
            <a:off x="7735163" y="378033"/>
            <a:ext cx="2477443" cy="3366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l"/>
            <a:r>
              <a:rPr lang="en-IN" sz="1400" b="1">
                <a:solidFill>
                  <a:schemeClr val="bg1"/>
                </a:solidFill>
                <a:latin typeface="+mn-lt"/>
                <a:ea typeface="+mn-ea"/>
                <a:cs typeface="+mn-cs"/>
              </a:rPr>
              <a:t>Average Performance</a:t>
            </a:r>
            <a:r>
              <a:rPr lang="en-IN" sz="1400" b="1" baseline="0">
                <a:solidFill>
                  <a:schemeClr val="bg1"/>
                </a:solidFill>
              </a:rPr>
              <a:t> </a:t>
            </a:r>
            <a:r>
              <a:rPr lang="en-IN" sz="1400" b="1">
                <a:solidFill>
                  <a:schemeClr val="bg1"/>
                </a:solidFill>
                <a:latin typeface="+mn-lt"/>
                <a:ea typeface="+mn-ea"/>
                <a:cs typeface="+mn-cs"/>
              </a:rPr>
              <a:t>Rating</a:t>
            </a:r>
          </a:p>
        </xdr:txBody>
      </xdr:sp>
    </xdr:grpSp>
    <xdr:clientData/>
  </xdr:twoCellAnchor>
  <xdr:twoCellAnchor editAs="oneCell">
    <xdr:from>
      <xdr:col>0</xdr:col>
      <xdr:colOff>228601</xdr:colOff>
      <xdr:row>3</xdr:row>
      <xdr:rowOff>95250</xdr:rowOff>
    </xdr:from>
    <xdr:to>
      <xdr:col>6</xdr:col>
      <xdr:colOff>360947</xdr:colOff>
      <xdr:row>6</xdr:row>
      <xdr:rowOff>190499</xdr:rowOff>
    </xdr:to>
    <mc:AlternateContent xmlns:mc="http://schemas.openxmlformats.org/markup-compatibility/2006" xmlns:a14="http://schemas.microsoft.com/office/drawing/2010/main">
      <mc:Choice Requires="a14">
        <xdr:graphicFrame macro="">
          <xdr:nvGraphicFramePr>
            <xdr:cNvPr id="94" name="Gender">
              <a:extLst>
                <a:ext uri="{FF2B5EF4-FFF2-40B4-BE49-F238E27FC236}">
                  <a16:creationId xmlns:a16="http://schemas.microsoft.com/office/drawing/2014/main" id="{EC1C232C-F4D8-4BD3-A4B0-02209FBB51C6}"/>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28601" y="666750"/>
              <a:ext cx="3789946" cy="6667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436144</xdr:colOff>
      <xdr:row>3</xdr:row>
      <xdr:rowOff>95250</xdr:rowOff>
    </xdr:from>
    <xdr:to>
      <xdr:col>17</xdr:col>
      <xdr:colOff>38099</xdr:colOff>
      <xdr:row>6</xdr:row>
      <xdr:rowOff>180474</xdr:rowOff>
    </xdr:to>
    <mc:AlternateContent xmlns:mc="http://schemas.openxmlformats.org/markup-compatibility/2006" xmlns:a14="http://schemas.microsoft.com/office/drawing/2010/main">
      <mc:Choice Requires="a14">
        <xdr:graphicFrame macro="">
          <xdr:nvGraphicFramePr>
            <xdr:cNvPr id="96" name="Department">
              <a:extLst>
                <a:ext uri="{FF2B5EF4-FFF2-40B4-BE49-F238E27FC236}">
                  <a16:creationId xmlns:a16="http://schemas.microsoft.com/office/drawing/2014/main" id="{2E4320DE-E3FD-4A98-9FD9-23A959B40E23}"/>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4093744" y="666750"/>
              <a:ext cx="6307555" cy="6567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238124</xdr:colOff>
      <xdr:row>0</xdr:row>
      <xdr:rowOff>76201</xdr:rowOff>
    </xdr:from>
    <xdr:to>
      <xdr:col>17</xdr:col>
      <xdr:colOff>47625</xdr:colOff>
      <xdr:row>3</xdr:row>
      <xdr:rowOff>38100</xdr:rowOff>
    </xdr:to>
    <xdr:sp macro="" textlink="">
      <xdr:nvSpPr>
        <xdr:cNvPr id="97" name="Rectangle: Rounded Corners 96">
          <a:extLst>
            <a:ext uri="{FF2B5EF4-FFF2-40B4-BE49-F238E27FC236}">
              <a16:creationId xmlns:a16="http://schemas.microsoft.com/office/drawing/2014/main" id="{FADFA637-87FE-E415-B1B2-DE6BC7EE0F10}"/>
            </a:ext>
          </a:extLst>
        </xdr:cNvPr>
        <xdr:cNvSpPr/>
      </xdr:nvSpPr>
      <xdr:spPr>
        <a:xfrm>
          <a:off x="238124" y="76201"/>
          <a:ext cx="10172701" cy="533399"/>
        </a:xfrm>
        <a:prstGeom prst="roundRect">
          <a:avLst>
            <a:gd name="adj" fmla="val 8200"/>
          </a:avLst>
        </a:prstGeom>
        <a:solidFill>
          <a:schemeClr val="tx1">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200"/>
            <a:t>HR Dashboard</a:t>
          </a:r>
        </a:p>
      </xdr:txBody>
    </xdr:sp>
    <xdr:clientData/>
  </xdr:twoCellAnchor>
  <xdr:twoCellAnchor>
    <xdr:from>
      <xdr:col>0</xdr:col>
      <xdr:colOff>261937</xdr:colOff>
      <xdr:row>7</xdr:row>
      <xdr:rowOff>85725</xdr:rowOff>
    </xdr:from>
    <xdr:to>
      <xdr:col>4</xdr:col>
      <xdr:colOff>271537</xdr:colOff>
      <xdr:row>13</xdr:row>
      <xdr:rowOff>95250</xdr:rowOff>
    </xdr:to>
    <xdr:grpSp>
      <xdr:nvGrpSpPr>
        <xdr:cNvPr id="110" name="Group 109">
          <a:extLst>
            <a:ext uri="{FF2B5EF4-FFF2-40B4-BE49-F238E27FC236}">
              <a16:creationId xmlns:a16="http://schemas.microsoft.com/office/drawing/2014/main" id="{D56188C5-9AB1-7F6F-CDE4-08FFB8B14D8A}"/>
            </a:ext>
          </a:extLst>
        </xdr:cNvPr>
        <xdr:cNvGrpSpPr/>
      </xdr:nvGrpSpPr>
      <xdr:grpSpPr>
        <a:xfrm>
          <a:off x="261937" y="1419225"/>
          <a:ext cx="2448000" cy="1152525"/>
          <a:chOff x="2357437" y="1371600"/>
          <a:chExt cx="2448000" cy="1152525"/>
        </a:xfrm>
      </xdr:grpSpPr>
      <xdr:sp macro="" textlink="">
        <xdr:nvSpPr>
          <xdr:cNvPr id="10" name="Rectangle: Rounded Corners 9">
            <a:extLst>
              <a:ext uri="{FF2B5EF4-FFF2-40B4-BE49-F238E27FC236}">
                <a16:creationId xmlns:a16="http://schemas.microsoft.com/office/drawing/2014/main" id="{11F6F22B-860C-70FA-E8EF-9F9394974E14}"/>
              </a:ext>
            </a:extLst>
          </xdr:cNvPr>
          <xdr:cNvSpPr/>
        </xdr:nvSpPr>
        <xdr:spPr>
          <a:xfrm>
            <a:off x="2357437" y="1371600"/>
            <a:ext cx="2448000" cy="1152525"/>
          </a:xfrm>
          <a:prstGeom prst="roundRect">
            <a:avLst>
              <a:gd name="adj" fmla="val 8200"/>
            </a:avLst>
          </a:prstGeom>
          <a:solidFill>
            <a:schemeClr val="tx1">
              <a:lumMod val="65000"/>
              <a:lumOff val="3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PivotTables!I24">
        <xdr:nvSpPr>
          <xdr:cNvPr id="78" name="TextBox 77">
            <a:extLst>
              <a:ext uri="{FF2B5EF4-FFF2-40B4-BE49-F238E27FC236}">
                <a16:creationId xmlns:a16="http://schemas.microsoft.com/office/drawing/2014/main" id="{F33A4813-0D95-2876-2E16-C4A8178F749A}"/>
              </a:ext>
            </a:extLst>
          </xdr:cNvPr>
          <xdr:cNvSpPr txBox="1"/>
        </xdr:nvSpPr>
        <xdr:spPr>
          <a:xfrm>
            <a:off x="3509962" y="1661766"/>
            <a:ext cx="1000127" cy="7184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l"/>
            <a:fld id="{B83AAB40-72B0-4200-ABA4-074248F84813}" type="TxLink">
              <a:rPr lang="en-US" sz="4000" b="1" i="0" u="none" strike="noStrike">
                <a:solidFill>
                  <a:schemeClr val="bg1"/>
                </a:solidFill>
                <a:latin typeface="Calibri"/>
                <a:ea typeface="Calibri"/>
                <a:cs typeface="Calibri"/>
              </a:rPr>
              <a:pPr algn="l"/>
              <a:t>50</a:t>
            </a:fld>
            <a:endParaRPr lang="en-IN" sz="4000" b="1">
              <a:solidFill>
                <a:schemeClr val="bg1"/>
              </a:solidFill>
            </a:endParaRPr>
          </a:p>
        </xdr:txBody>
      </xdr:sp>
      <xdr:sp macro="" textlink="">
        <xdr:nvSpPr>
          <xdr:cNvPr id="80" name="TextBox 79">
            <a:extLst>
              <a:ext uri="{FF2B5EF4-FFF2-40B4-BE49-F238E27FC236}">
                <a16:creationId xmlns:a16="http://schemas.microsoft.com/office/drawing/2014/main" id="{AE73F99C-9CF9-78C9-1F50-E1D84D607F93}"/>
              </a:ext>
            </a:extLst>
          </xdr:cNvPr>
          <xdr:cNvSpPr txBox="1"/>
        </xdr:nvSpPr>
        <xdr:spPr>
          <a:xfrm>
            <a:off x="2824162" y="1395066"/>
            <a:ext cx="1423988"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l"/>
            <a:r>
              <a:rPr lang="en-IN" sz="1400" b="1">
                <a:solidFill>
                  <a:schemeClr val="bg1"/>
                </a:solidFill>
              </a:rPr>
              <a:t>Total Employees</a:t>
            </a:r>
            <a:endParaRPr lang="en-IN" sz="1200" b="1">
              <a:solidFill>
                <a:schemeClr val="bg1"/>
              </a:solidFill>
            </a:endParaRPr>
          </a:p>
        </xdr:txBody>
      </xdr:sp>
      <xdr:pic>
        <xdr:nvPicPr>
          <xdr:cNvPr id="101" name="Graphic 100" descr="Users">
            <a:extLst>
              <a:ext uri="{FF2B5EF4-FFF2-40B4-BE49-F238E27FC236}">
                <a16:creationId xmlns:a16="http://schemas.microsoft.com/office/drawing/2014/main" id="{D2A75AA5-2DCB-7EDD-AEA1-6518D697ACAE}"/>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400300" y="1562100"/>
            <a:ext cx="914400" cy="914400"/>
          </a:xfrm>
          <a:prstGeom prst="rect">
            <a:avLst/>
          </a:prstGeom>
        </xdr:spPr>
      </xdr:pic>
    </xdr:grpSp>
    <xdr:clientData/>
  </xdr:twoCellAnchor>
  <xdr:twoCellAnchor>
    <xdr:from>
      <xdr:col>8</xdr:col>
      <xdr:colOff>528638</xdr:colOff>
      <xdr:row>7</xdr:row>
      <xdr:rowOff>95250</xdr:rowOff>
    </xdr:from>
    <xdr:to>
      <xdr:col>13</xdr:col>
      <xdr:colOff>108179</xdr:colOff>
      <xdr:row>13</xdr:row>
      <xdr:rowOff>115957</xdr:rowOff>
    </xdr:to>
    <xdr:grpSp>
      <xdr:nvGrpSpPr>
        <xdr:cNvPr id="121" name="Group 120">
          <a:extLst>
            <a:ext uri="{FF2B5EF4-FFF2-40B4-BE49-F238E27FC236}">
              <a16:creationId xmlns:a16="http://schemas.microsoft.com/office/drawing/2014/main" id="{FB05ED67-6D19-4912-9CAD-B0066D2FB0AB}"/>
            </a:ext>
          </a:extLst>
        </xdr:cNvPr>
        <xdr:cNvGrpSpPr/>
      </xdr:nvGrpSpPr>
      <xdr:grpSpPr>
        <a:xfrm>
          <a:off x="5405438" y="1428750"/>
          <a:ext cx="2627541" cy="1163707"/>
          <a:chOff x="7920040" y="1419225"/>
          <a:chExt cx="2594802" cy="1152525"/>
        </a:xfrm>
      </xdr:grpSpPr>
      <xdr:sp macro="" textlink="">
        <xdr:nvSpPr>
          <xdr:cNvPr id="113" name="Rectangle: Rounded Corners 112">
            <a:extLst>
              <a:ext uri="{FF2B5EF4-FFF2-40B4-BE49-F238E27FC236}">
                <a16:creationId xmlns:a16="http://schemas.microsoft.com/office/drawing/2014/main" id="{81FCE9AC-331B-B538-6D3F-5D88D0A74668}"/>
              </a:ext>
            </a:extLst>
          </xdr:cNvPr>
          <xdr:cNvSpPr/>
        </xdr:nvSpPr>
        <xdr:spPr>
          <a:xfrm>
            <a:off x="7920040" y="1419225"/>
            <a:ext cx="2448000" cy="1152525"/>
          </a:xfrm>
          <a:prstGeom prst="roundRect">
            <a:avLst>
              <a:gd name="adj" fmla="val 8200"/>
            </a:avLst>
          </a:prstGeom>
          <a:solidFill>
            <a:schemeClr val="tx1">
              <a:lumMod val="65000"/>
              <a:lumOff val="3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PivotTables!AD14">
        <xdr:nvSpPr>
          <xdr:cNvPr id="114" name="TextBox 113">
            <a:extLst>
              <a:ext uri="{FF2B5EF4-FFF2-40B4-BE49-F238E27FC236}">
                <a16:creationId xmlns:a16="http://schemas.microsoft.com/office/drawing/2014/main" id="{3A352ED3-C4D4-92FE-236F-2EE38387C1F8}"/>
              </a:ext>
            </a:extLst>
          </xdr:cNvPr>
          <xdr:cNvSpPr txBox="1"/>
        </xdr:nvSpPr>
        <xdr:spPr>
          <a:xfrm>
            <a:off x="8767004" y="1880842"/>
            <a:ext cx="1747838" cy="4813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lgn="l"/>
            <a:fld id="{484D7F82-8FE8-4EEA-BC4A-C267B64585B1}" type="TxLink">
              <a:rPr lang="en-US" sz="2400" b="1" i="0" u="none" strike="noStrike">
                <a:solidFill>
                  <a:schemeClr val="bg1"/>
                </a:solidFill>
                <a:latin typeface="Calibri"/>
                <a:ea typeface="Calibri"/>
                <a:cs typeface="Calibri"/>
              </a:rPr>
              <a:pPr marL="0" indent="0" algn="l"/>
              <a:t> ₹ 62,098 </a:t>
            </a:fld>
            <a:endParaRPr lang="en-IN" sz="2400" b="1" i="0" u="none" strike="noStrike">
              <a:solidFill>
                <a:schemeClr val="bg1"/>
              </a:solidFill>
              <a:latin typeface="Calibri"/>
              <a:ea typeface="Calibri"/>
              <a:cs typeface="Calibri"/>
            </a:endParaRPr>
          </a:p>
        </xdr:txBody>
      </xdr:sp>
      <xdr:sp macro="" textlink="">
        <xdr:nvSpPr>
          <xdr:cNvPr id="116" name="TextBox 115">
            <a:extLst>
              <a:ext uri="{FF2B5EF4-FFF2-40B4-BE49-F238E27FC236}">
                <a16:creationId xmlns:a16="http://schemas.microsoft.com/office/drawing/2014/main" id="{6DACAC97-22C2-CC50-940C-27BBE2E82773}"/>
              </a:ext>
            </a:extLst>
          </xdr:cNvPr>
          <xdr:cNvSpPr txBox="1"/>
        </xdr:nvSpPr>
        <xdr:spPr>
          <a:xfrm>
            <a:off x="8501062" y="1452216"/>
            <a:ext cx="1376363" cy="3099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a:r>
              <a:rPr lang="en-IN" sz="1400" b="1">
                <a:solidFill>
                  <a:schemeClr val="bg1"/>
                </a:solidFill>
                <a:latin typeface="+mn-lt"/>
                <a:ea typeface="+mn-ea"/>
                <a:cs typeface="+mn-cs"/>
              </a:rPr>
              <a:t>Average</a:t>
            </a:r>
            <a:r>
              <a:rPr lang="en-IN" sz="1400" b="1">
                <a:solidFill>
                  <a:schemeClr val="bg1"/>
                </a:solidFill>
              </a:rPr>
              <a:t> </a:t>
            </a:r>
            <a:r>
              <a:rPr lang="en-IN" sz="1400" b="1">
                <a:solidFill>
                  <a:schemeClr val="bg1"/>
                </a:solidFill>
                <a:latin typeface="+mn-lt"/>
                <a:ea typeface="+mn-ea"/>
                <a:cs typeface="+mn-cs"/>
              </a:rPr>
              <a:t>salary</a:t>
            </a:r>
          </a:p>
        </xdr:txBody>
      </xdr:sp>
      <xdr:pic>
        <xdr:nvPicPr>
          <xdr:cNvPr id="120" name="Graphic 119" descr="Money">
            <a:extLst>
              <a:ext uri="{FF2B5EF4-FFF2-40B4-BE49-F238E27FC236}">
                <a16:creationId xmlns:a16="http://schemas.microsoft.com/office/drawing/2014/main" id="{19A5868B-850B-71D9-6611-7EBF7209BE7A}"/>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8010525" y="1569264"/>
            <a:ext cx="881187" cy="881188"/>
          </a:xfrm>
          <a:prstGeom prst="rect">
            <a:avLst/>
          </a:prstGeom>
        </xdr:spPr>
      </xdr:pic>
    </xdr:grpSp>
    <xdr:clientData/>
  </xdr:twoCellAnchor>
  <xdr:twoCellAnchor editAs="oneCell">
    <xdr:from>
      <xdr:col>13</xdr:col>
      <xdr:colOff>257175</xdr:colOff>
      <xdr:row>8</xdr:row>
      <xdr:rowOff>66675</xdr:rowOff>
    </xdr:from>
    <xdr:to>
      <xdr:col>14</xdr:col>
      <xdr:colOff>561975</xdr:colOff>
      <xdr:row>13</xdr:row>
      <xdr:rowOff>28575</xdr:rowOff>
    </xdr:to>
    <xdr:pic>
      <xdr:nvPicPr>
        <xdr:cNvPr id="123" name="Graphic 122" descr="Gauge">
          <a:extLst>
            <a:ext uri="{FF2B5EF4-FFF2-40B4-BE49-F238E27FC236}">
              <a16:creationId xmlns:a16="http://schemas.microsoft.com/office/drawing/2014/main" id="{A58B52CA-9B6F-E3FF-5840-30D6867B6FCF}"/>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8181975" y="1590675"/>
          <a:ext cx="914400" cy="914400"/>
        </a:xfrm>
        <a:prstGeom prst="rect">
          <a:avLst/>
        </a:prstGeom>
      </xdr:spPr>
    </xdr:pic>
    <xdr:clientData/>
  </xdr:twoCellAnchor>
  <xdr:twoCellAnchor>
    <xdr:from>
      <xdr:col>13</xdr:col>
      <xdr:colOff>61289</xdr:colOff>
      <xdr:row>14</xdr:row>
      <xdr:rowOff>14753</xdr:rowOff>
    </xdr:from>
    <xdr:to>
      <xdr:col>17</xdr:col>
      <xdr:colOff>70815</xdr:colOff>
      <xdr:row>23</xdr:row>
      <xdr:rowOff>185454</xdr:rowOff>
    </xdr:to>
    <xdr:grpSp>
      <xdr:nvGrpSpPr>
        <xdr:cNvPr id="1049" name="Group 1048">
          <a:extLst>
            <a:ext uri="{FF2B5EF4-FFF2-40B4-BE49-F238E27FC236}">
              <a16:creationId xmlns:a16="http://schemas.microsoft.com/office/drawing/2014/main" id="{BDFF88ED-67AA-CD1A-9AA9-06AD968E0337}"/>
            </a:ext>
          </a:extLst>
        </xdr:cNvPr>
        <xdr:cNvGrpSpPr/>
      </xdr:nvGrpSpPr>
      <xdr:grpSpPr>
        <a:xfrm>
          <a:off x="7986089" y="2681753"/>
          <a:ext cx="2447926" cy="1885201"/>
          <a:chOff x="5426242" y="2681753"/>
          <a:chExt cx="2455946" cy="1885201"/>
        </a:xfrm>
      </xdr:grpSpPr>
      <xdr:grpSp>
        <xdr:nvGrpSpPr>
          <xdr:cNvPr id="104" name="Group 103">
            <a:extLst>
              <a:ext uri="{FF2B5EF4-FFF2-40B4-BE49-F238E27FC236}">
                <a16:creationId xmlns:a16="http://schemas.microsoft.com/office/drawing/2014/main" id="{FDA2F8A7-D497-2346-A4B0-4136255EC1AC}"/>
              </a:ext>
            </a:extLst>
          </xdr:cNvPr>
          <xdr:cNvGrpSpPr/>
        </xdr:nvGrpSpPr>
        <xdr:grpSpPr>
          <a:xfrm>
            <a:off x="5426242" y="2681753"/>
            <a:ext cx="2455946" cy="1885201"/>
            <a:chOff x="190500" y="4452075"/>
            <a:chExt cx="1908000" cy="1800000"/>
          </a:xfrm>
          <a:solidFill>
            <a:schemeClr val="tx1">
              <a:lumMod val="65000"/>
              <a:lumOff val="35000"/>
            </a:schemeClr>
          </a:solidFill>
        </xdr:grpSpPr>
        <xdr:sp macro="" textlink="">
          <xdr:nvSpPr>
            <xdr:cNvPr id="3" name="Rectangle: Rounded Corners 2">
              <a:extLst>
                <a:ext uri="{FF2B5EF4-FFF2-40B4-BE49-F238E27FC236}">
                  <a16:creationId xmlns:a16="http://schemas.microsoft.com/office/drawing/2014/main" id="{96FE6D06-E26A-FE63-409B-C47F5B5721D1}"/>
                </a:ext>
              </a:extLst>
            </xdr:cNvPr>
            <xdr:cNvSpPr/>
          </xdr:nvSpPr>
          <xdr:spPr>
            <a:xfrm>
              <a:off x="190500" y="4452075"/>
              <a:ext cx="1908000" cy="1800000"/>
            </a:xfrm>
            <a:prstGeom prst="roundRect">
              <a:avLst>
                <a:gd name="adj" fmla="val 8200"/>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3" name="TextBox 42">
              <a:extLst>
                <a:ext uri="{FF2B5EF4-FFF2-40B4-BE49-F238E27FC236}">
                  <a16:creationId xmlns:a16="http://schemas.microsoft.com/office/drawing/2014/main" id="{8152B502-0597-193F-65DD-2DA581C5DA9F}"/>
                </a:ext>
              </a:extLst>
            </xdr:cNvPr>
            <xdr:cNvSpPr txBox="1"/>
          </xdr:nvSpPr>
          <xdr:spPr>
            <a:xfrm>
              <a:off x="598125" y="4469489"/>
              <a:ext cx="1040081" cy="304997"/>
            </a:xfrm>
            <a:prstGeom prst="rect">
              <a:avLst/>
            </a:prstGeom>
            <a:grp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l"/>
              <a:r>
                <a:rPr lang="en-IN" sz="1400" b="1">
                  <a:solidFill>
                    <a:schemeClr val="bg1">
                      <a:lumMod val="95000"/>
                    </a:schemeClr>
                  </a:solidFill>
                  <a:latin typeface="+mn-lt"/>
                  <a:ea typeface="+mn-ea"/>
                  <a:cs typeface="+mn-cs"/>
                </a:rPr>
                <a:t>Work</a:t>
              </a:r>
              <a:r>
                <a:rPr lang="en-IN" sz="1400" b="1">
                  <a:solidFill>
                    <a:srgbClr val="E5B244"/>
                  </a:solidFill>
                </a:rPr>
                <a:t> </a:t>
              </a:r>
              <a:r>
                <a:rPr lang="en-IN" sz="1400" b="1">
                  <a:solidFill>
                    <a:schemeClr val="bg1">
                      <a:lumMod val="95000"/>
                    </a:schemeClr>
                  </a:solidFill>
                  <a:latin typeface="+mn-lt"/>
                  <a:ea typeface="+mn-ea"/>
                  <a:cs typeface="+mn-cs"/>
                </a:rPr>
                <a:t>Location</a:t>
              </a:r>
            </a:p>
          </xdr:txBody>
        </xdr:sp>
      </xdr:grpSp>
      <xdr:graphicFrame macro="">
        <xdr:nvGraphicFramePr>
          <xdr:cNvPr id="1048" name="Chart 1047">
            <a:extLst>
              <a:ext uri="{FF2B5EF4-FFF2-40B4-BE49-F238E27FC236}">
                <a16:creationId xmlns:a16="http://schemas.microsoft.com/office/drawing/2014/main" id="{7A4588E4-4438-4023-AF96-22608315CA97}"/>
              </a:ext>
            </a:extLst>
          </xdr:cNvPr>
          <xdr:cNvGraphicFramePr>
            <a:graphicFrameLocks/>
          </xdr:cNvGraphicFramePr>
        </xdr:nvGraphicFramePr>
        <xdr:xfrm>
          <a:off x="5513972" y="2933700"/>
          <a:ext cx="2263441" cy="1476375"/>
        </xdr:xfrm>
        <a:graphic>
          <a:graphicData uri="http://schemas.openxmlformats.org/drawingml/2006/chart">
            <c:chart xmlns:c="http://schemas.openxmlformats.org/drawingml/2006/chart" xmlns:r="http://schemas.openxmlformats.org/officeDocument/2006/relationships" r:id="rId11"/>
          </a:graphicData>
        </a:graphic>
      </xdr:graphicFrame>
    </xdr:grpSp>
    <xdr:clientData/>
  </xdr:twoCellAnchor>
  <xdr:twoCellAnchor>
    <xdr:from>
      <xdr:col>4</xdr:col>
      <xdr:colOff>399428</xdr:colOff>
      <xdr:row>7</xdr:row>
      <xdr:rowOff>98563</xdr:rowOff>
    </xdr:from>
    <xdr:to>
      <xdr:col>8</xdr:col>
      <xdr:colOff>409029</xdr:colOff>
      <xdr:row>13</xdr:row>
      <xdr:rowOff>108088</xdr:rowOff>
    </xdr:to>
    <xdr:grpSp>
      <xdr:nvGrpSpPr>
        <xdr:cNvPr id="1078" name="Group 1077">
          <a:extLst>
            <a:ext uri="{FF2B5EF4-FFF2-40B4-BE49-F238E27FC236}">
              <a16:creationId xmlns:a16="http://schemas.microsoft.com/office/drawing/2014/main" id="{DAE7227C-47E7-F1C2-5B16-13DF4D0716FB}"/>
            </a:ext>
          </a:extLst>
        </xdr:cNvPr>
        <xdr:cNvGrpSpPr/>
      </xdr:nvGrpSpPr>
      <xdr:grpSpPr>
        <a:xfrm>
          <a:off x="2837828" y="1432063"/>
          <a:ext cx="2448001" cy="1152525"/>
          <a:chOff x="2831343" y="1432063"/>
          <a:chExt cx="2441516" cy="1152525"/>
        </a:xfrm>
      </xdr:grpSpPr>
      <xdr:sp macro="" textlink="">
        <xdr:nvSpPr>
          <xdr:cNvPr id="1070" name="Rectangle: Rounded Corners 1069">
            <a:extLst>
              <a:ext uri="{FF2B5EF4-FFF2-40B4-BE49-F238E27FC236}">
                <a16:creationId xmlns:a16="http://schemas.microsoft.com/office/drawing/2014/main" id="{8E4082B1-62C7-CA81-F977-B31BB0D23671}"/>
              </a:ext>
            </a:extLst>
          </xdr:cNvPr>
          <xdr:cNvSpPr/>
        </xdr:nvSpPr>
        <xdr:spPr>
          <a:xfrm>
            <a:off x="2831343" y="1432063"/>
            <a:ext cx="2441516" cy="1152525"/>
          </a:xfrm>
          <a:prstGeom prst="roundRect">
            <a:avLst>
              <a:gd name="adj" fmla="val 8200"/>
            </a:avLst>
          </a:prstGeom>
          <a:solidFill>
            <a:schemeClr val="tx1">
              <a:lumMod val="65000"/>
              <a:lumOff val="3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PivotTables!AF14">
        <xdr:nvSpPr>
          <xdr:cNvPr id="1071" name="TextBox 1070">
            <a:extLst>
              <a:ext uri="{FF2B5EF4-FFF2-40B4-BE49-F238E27FC236}">
                <a16:creationId xmlns:a16="http://schemas.microsoft.com/office/drawing/2014/main" id="{AD1AB4D3-9FE1-AB41-3096-445E8CEE45FC}"/>
              </a:ext>
            </a:extLst>
          </xdr:cNvPr>
          <xdr:cNvSpPr txBox="1"/>
        </xdr:nvSpPr>
        <xdr:spPr>
          <a:xfrm>
            <a:off x="3764040" y="1718394"/>
            <a:ext cx="1310556" cy="7184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l"/>
            <a:fld id="{FE91FD3D-4C24-456D-B613-9396911E8C79}" type="TxLink">
              <a:rPr lang="en-US" sz="4000" b="0" i="0" u="none" strike="noStrike">
                <a:solidFill>
                  <a:schemeClr val="bg1"/>
                </a:solidFill>
                <a:latin typeface="Calibri"/>
                <a:ea typeface="Calibri"/>
                <a:cs typeface="Calibri"/>
              </a:rPr>
              <a:pPr marL="0" indent="0" algn="l"/>
              <a:t>5.7</a:t>
            </a:fld>
            <a:endParaRPr lang="en-IN" sz="4000" b="1" i="0" u="none" strike="noStrike">
              <a:solidFill>
                <a:schemeClr val="bg1"/>
              </a:solidFill>
              <a:latin typeface="Calibri"/>
              <a:ea typeface="Calibri"/>
              <a:cs typeface="Calibri"/>
            </a:endParaRPr>
          </a:p>
        </xdr:txBody>
      </xdr:sp>
      <xdr:sp macro="" textlink="">
        <xdr:nvSpPr>
          <xdr:cNvPr id="1072" name="TextBox 1071">
            <a:extLst>
              <a:ext uri="{FF2B5EF4-FFF2-40B4-BE49-F238E27FC236}">
                <a16:creationId xmlns:a16="http://schemas.microsoft.com/office/drawing/2014/main" id="{23037FB2-8E98-ACD7-5E82-902EE4C4C3D6}"/>
              </a:ext>
            </a:extLst>
          </xdr:cNvPr>
          <xdr:cNvSpPr txBox="1"/>
        </xdr:nvSpPr>
        <xdr:spPr>
          <a:xfrm>
            <a:off x="3149927" y="1456771"/>
            <a:ext cx="1766481" cy="26359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a:r>
              <a:rPr lang="en-IN" sz="1400" b="1">
                <a:solidFill>
                  <a:schemeClr val="bg1"/>
                </a:solidFill>
                <a:latin typeface="+mn-lt"/>
                <a:ea typeface="+mn-ea"/>
                <a:cs typeface="+mn-cs"/>
              </a:rPr>
              <a:t>Average</a:t>
            </a:r>
            <a:r>
              <a:rPr lang="en-IN" sz="1400" b="1">
                <a:solidFill>
                  <a:schemeClr val="bg1"/>
                </a:solidFill>
              </a:rPr>
              <a:t> </a:t>
            </a:r>
            <a:r>
              <a:rPr lang="en-IN" sz="1400" b="1">
                <a:solidFill>
                  <a:schemeClr val="bg1"/>
                </a:solidFill>
                <a:latin typeface="+mn-lt"/>
                <a:ea typeface="+mn-ea"/>
                <a:cs typeface="+mn-cs"/>
              </a:rPr>
              <a:t>tenure years</a:t>
            </a:r>
          </a:p>
        </xdr:txBody>
      </xdr:sp>
      <xdr:pic>
        <xdr:nvPicPr>
          <xdr:cNvPr id="1075" name="Graphic 1074" descr="Hourglass">
            <a:extLst>
              <a:ext uri="{FF2B5EF4-FFF2-40B4-BE49-F238E27FC236}">
                <a16:creationId xmlns:a16="http://schemas.microsoft.com/office/drawing/2014/main" id="{4C3B761C-7A32-78B5-F9C9-FF1B42444027}"/>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3147568" y="1709531"/>
            <a:ext cx="699087" cy="704022"/>
          </a:xfrm>
          <a:prstGeom prst="rect">
            <a:avLst/>
          </a:prstGeom>
        </xdr:spPr>
      </xdr:pic>
    </xdr:grpSp>
    <xdr:clientData/>
  </xdr:twoCellAnchor>
  <xdr:twoCellAnchor editAs="oneCell">
    <xdr:from>
      <xdr:col>0</xdr:col>
      <xdr:colOff>485775</xdr:colOff>
      <xdr:row>15</xdr:row>
      <xdr:rowOff>114646</xdr:rowOff>
    </xdr:from>
    <xdr:to>
      <xdr:col>1</xdr:col>
      <xdr:colOff>476250</xdr:colOff>
      <xdr:row>18</xdr:row>
      <xdr:rowOff>145404</xdr:rowOff>
    </xdr:to>
    <xdr:pic>
      <xdr:nvPicPr>
        <xdr:cNvPr id="1077" name="Graphic 1076" descr="Male profile">
          <a:extLst>
            <a:ext uri="{FF2B5EF4-FFF2-40B4-BE49-F238E27FC236}">
              <a16:creationId xmlns:a16="http://schemas.microsoft.com/office/drawing/2014/main" id="{B587084F-8601-E118-68AA-6D189DAAB76A}"/>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485775" y="2972146"/>
          <a:ext cx="600075" cy="602258"/>
        </a:xfrm>
        <a:prstGeom prst="rect">
          <a:avLst/>
        </a:prstGeom>
      </xdr:spPr>
    </xdr:pic>
    <xdr:clientData/>
  </xdr:twoCellAnchor>
  <xdr:twoCellAnchor editAs="oneCell">
    <xdr:from>
      <xdr:col>2</xdr:col>
      <xdr:colOff>561913</xdr:colOff>
      <xdr:row>15</xdr:row>
      <xdr:rowOff>109436</xdr:rowOff>
    </xdr:from>
    <xdr:to>
      <xdr:col>3</xdr:col>
      <xdr:colOff>551863</xdr:colOff>
      <xdr:row>18</xdr:row>
      <xdr:rowOff>139136</xdr:rowOff>
    </xdr:to>
    <xdr:pic>
      <xdr:nvPicPr>
        <xdr:cNvPr id="1081" name="Graphic 1080" descr="Female Profile">
          <a:extLst>
            <a:ext uri="{FF2B5EF4-FFF2-40B4-BE49-F238E27FC236}">
              <a16:creationId xmlns:a16="http://schemas.microsoft.com/office/drawing/2014/main" id="{3AB8DEDF-6FD9-5565-BC76-451E57E93A99}"/>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1777870" y="2966936"/>
          <a:ext cx="597929" cy="601200"/>
        </a:xfrm>
        <a:prstGeom prst="rect">
          <a:avLst/>
        </a:prstGeom>
      </xdr:spPr>
    </xdr:pic>
    <xdr:clientData/>
  </xdr:twoCellAnchor>
  <xdr:twoCellAnchor>
    <xdr:from>
      <xdr:col>0</xdr:col>
      <xdr:colOff>261937</xdr:colOff>
      <xdr:row>24</xdr:row>
      <xdr:rowOff>16350</xdr:rowOff>
    </xdr:from>
    <xdr:to>
      <xdr:col>8</xdr:col>
      <xdr:colOff>425824</xdr:colOff>
      <xdr:row>35</xdr:row>
      <xdr:rowOff>22412</xdr:rowOff>
    </xdr:to>
    <xdr:sp macro="" textlink="">
      <xdr:nvSpPr>
        <xdr:cNvPr id="8" name="Rectangle: Rounded Corners 7">
          <a:extLst>
            <a:ext uri="{FF2B5EF4-FFF2-40B4-BE49-F238E27FC236}">
              <a16:creationId xmlns:a16="http://schemas.microsoft.com/office/drawing/2014/main" id="{FA6950EE-5530-A5E3-4661-18F93B426FB5}"/>
            </a:ext>
          </a:extLst>
        </xdr:cNvPr>
        <xdr:cNvSpPr/>
      </xdr:nvSpPr>
      <xdr:spPr>
        <a:xfrm>
          <a:off x="261937" y="4588350"/>
          <a:ext cx="5004828" cy="2101562"/>
        </a:xfrm>
        <a:prstGeom prst="roundRect">
          <a:avLst>
            <a:gd name="adj" fmla="val 8200"/>
          </a:avLst>
        </a:prstGeom>
        <a:solidFill>
          <a:schemeClr val="tx1">
            <a:lumMod val="65000"/>
            <a:lumOff val="3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483094</xdr:colOff>
      <xdr:row>24</xdr:row>
      <xdr:rowOff>173608</xdr:rowOff>
    </xdr:from>
    <xdr:to>
      <xdr:col>5</xdr:col>
      <xdr:colOff>324971</xdr:colOff>
      <xdr:row>26</xdr:row>
      <xdr:rowOff>67235</xdr:rowOff>
    </xdr:to>
    <xdr:sp macro="" textlink="">
      <xdr:nvSpPr>
        <xdr:cNvPr id="22" name="TextBox 21">
          <a:extLst>
            <a:ext uri="{FF2B5EF4-FFF2-40B4-BE49-F238E27FC236}">
              <a16:creationId xmlns:a16="http://schemas.microsoft.com/office/drawing/2014/main" id="{11B07100-8215-C1CB-08D1-F1816269AEF3}"/>
            </a:ext>
          </a:extLst>
        </xdr:cNvPr>
        <xdr:cNvSpPr txBox="1"/>
      </xdr:nvSpPr>
      <xdr:spPr>
        <a:xfrm>
          <a:off x="1693329" y="4745608"/>
          <a:ext cx="1657230" cy="2746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a:r>
            <a:rPr lang="en-IN" sz="1800" b="1">
              <a:solidFill>
                <a:schemeClr val="bg1"/>
              </a:solidFill>
            </a:rPr>
            <a:t>Total Salaries</a:t>
          </a:r>
        </a:p>
      </xdr:txBody>
    </xdr:sp>
    <xdr:clientData/>
  </xdr:twoCellAnchor>
  <xdr:twoCellAnchor>
    <xdr:from>
      <xdr:col>4</xdr:col>
      <xdr:colOff>546311</xdr:colOff>
      <xdr:row>24</xdr:row>
      <xdr:rowOff>163332</xdr:rowOff>
    </xdr:from>
    <xdr:to>
      <xdr:col>8</xdr:col>
      <xdr:colOff>361950</xdr:colOff>
      <xdr:row>26</xdr:row>
      <xdr:rowOff>104775</xdr:rowOff>
    </xdr:to>
    <xdr:sp macro="" textlink="PivotTables!F18">
      <xdr:nvSpPr>
        <xdr:cNvPr id="33" name="TextBox 32">
          <a:extLst>
            <a:ext uri="{FF2B5EF4-FFF2-40B4-BE49-F238E27FC236}">
              <a16:creationId xmlns:a16="http://schemas.microsoft.com/office/drawing/2014/main" id="{BEF7063F-9CED-5615-153A-BD1581737101}"/>
            </a:ext>
          </a:extLst>
        </xdr:cNvPr>
        <xdr:cNvSpPr txBox="1"/>
      </xdr:nvSpPr>
      <xdr:spPr>
        <a:xfrm>
          <a:off x="2966782" y="4735332"/>
          <a:ext cx="2236109" cy="3224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r"/>
          <a:fld id="{45435B49-4428-4BEA-9A0F-E6D5F1082C3D}" type="TxLink">
            <a:rPr lang="en-US" sz="1800" b="1" i="0" u="none" strike="noStrike">
              <a:solidFill>
                <a:schemeClr val="bg1"/>
              </a:solidFill>
              <a:latin typeface="Calibri"/>
              <a:ea typeface="Calibri"/>
              <a:cs typeface="Calibri"/>
            </a:rPr>
            <a:pPr algn="r"/>
            <a:t> ₹ 31,04,913 </a:t>
          </a:fld>
          <a:endParaRPr lang="en-IN" sz="1800" b="1">
            <a:solidFill>
              <a:schemeClr val="bg1"/>
            </a:solidFill>
          </a:endParaRPr>
        </a:p>
      </xdr:txBody>
    </xdr:sp>
    <xdr:clientData/>
  </xdr:twoCellAnchor>
  <xdr:twoCellAnchor>
    <xdr:from>
      <xdr:col>2</xdr:col>
      <xdr:colOff>79006</xdr:colOff>
      <xdr:row>27</xdr:row>
      <xdr:rowOff>147466</xdr:rowOff>
    </xdr:from>
    <xdr:to>
      <xdr:col>4</xdr:col>
      <xdr:colOff>138142</xdr:colOff>
      <xdr:row>29</xdr:row>
      <xdr:rowOff>40702</xdr:rowOff>
    </xdr:to>
    <xdr:sp macro="" textlink="PivotTables!F17">
      <xdr:nvSpPr>
        <xdr:cNvPr id="34" name="TextBox 33">
          <a:extLst>
            <a:ext uri="{FF2B5EF4-FFF2-40B4-BE49-F238E27FC236}">
              <a16:creationId xmlns:a16="http://schemas.microsoft.com/office/drawing/2014/main" id="{D168A361-4749-4D12-9CC6-DEBB0521C34F}"/>
            </a:ext>
          </a:extLst>
        </xdr:cNvPr>
        <xdr:cNvSpPr txBox="1"/>
      </xdr:nvSpPr>
      <xdr:spPr>
        <a:xfrm>
          <a:off x="1289241" y="5290966"/>
          <a:ext cx="1269372" cy="2742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r"/>
          <a:fld id="{0F89E02D-3787-40CF-9780-C3D5DFC7BBB9}" type="TxLink">
            <a:rPr lang="en-US" sz="1400" b="0" i="0" u="none" strike="noStrike">
              <a:solidFill>
                <a:schemeClr val="bg1"/>
              </a:solidFill>
              <a:latin typeface="Calibri"/>
              <a:ea typeface="Calibri"/>
              <a:cs typeface="Calibri"/>
            </a:rPr>
            <a:pPr algn="r"/>
            <a:t> ₹ 10,98,124 </a:t>
          </a:fld>
          <a:endParaRPr lang="en-IN" sz="1400">
            <a:solidFill>
              <a:schemeClr val="bg1"/>
            </a:solidFill>
          </a:endParaRPr>
        </a:p>
      </xdr:txBody>
    </xdr:sp>
    <xdr:clientData/>
  </xdr:twoCellAnchor>
  <xdr:twoCellAnchor>
    <xdr:from>
      <xdr:col>2</xdr:col>
      <xdr:colOff>79006</xdr:colOff>
      <xdr:row>29</xdr:row>
      <xdr:rowOff>27460</xdr:rowOff>
    </xdr:from>
    <xdr:to>
      <xdr:col>4</xdr:col>
      <xdr:colOff>138142</xdr:colOff>
      <xdr:row>30</xdr:row>
      <xdr:rowOff>111196</xdr:rowOff>
    </xdr:to>
    <xdr:sp macro="" textlink="PivotTables!F16">
      <xdr:nvSpPr>
        <xdr:cNvPr id="35" name="TextBox 34">
          <a:extLst>
            <a:ext uri="{FF2B5EF4-FFF2-40B4-BE49-F238E27FC236}">
              <a16:creationId xmlns:a16="http://schemas.microsoft.com/office/drawing/2014/main" id="{1949C48E-5CE5-EA8F-CE74-9A2CB1EA781E}"/>
            </a:ext>
          </a:extLst>
        </xdr:cNvPr>
        <xdr:cNvSpPr txBox="1"/>
      </xdr:nvSpPr>
      <xdr:spPr>
        <a:xfrm>
          <a:off x="1289241" y="5551960"/>
          <a:ext cx="1269372" cy="2742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r"/>
          <a:fld id="{5C68E0F3-FEEB-4B04-B4DF-1A9798C7BDB2}" type="TxLink">
            <a:rPr lang="en-US" sz="1400" b="0" i="0" u="none" strike="noStrike">
              <a:solidFill>
                <a:schemeClr val="bg1"/>
              </a:solidFill>
              <a:latin typeface="Calibri"/>
              <a:ea typeface="Calibri"/>
              <a:cs typeface="Calibri"/>
            </a:rPr>
            <a:pPr algn="r"/>
            <a:t> ₹ 6,30,987 </a:t>
          </a:fld>
          <a:endParaRPr lang="en-IN" sz="1400">
            <a:solidFill>
              <a:schemeClr val="bg1"/>
            </a:solidFill>
          </a:endParaRPr>
        </a:p>
      </xdr:txBody>
    </xdr:sp>
    <xdr:clientData/>
  </xdr:twoCellAnchor>
  <xdr:twoCellAnchor>
    <xdr:from>
      <xdr:col>2</xdr:col>
      <xdr:colOff>79006</xdr:colOff>
      <xdr:row>30</xdr:row>
      <xdr:rowOff>97954</xdr:rowOff>
    </xdr:from>
    <xdr:to>
      <xdr:col>4</xdr:col>
      <xdr:colOff>138142</xdr:colOff>
      <xdr:row>31</xdr:row>
      <xdr:rowOff>181690</xdr:rowOff>
    </xdr:to>
    <xdr:sp macro="" textlink="PivotTables!F15">
      <xdr:nvSpPr>
        <xdr:cNvPr id="36" name="TextBox 35">
          <a:extLst>
            <a:ext uri="{FF2B5EF4-FFF2-40B4-BE49-F238E27FC236}">
              <a16:creationId xmlns:a16="http://schemas.microsoft.com/office/drawing/2014/main" id="{FC99A81D-B3F6-9B60-F99B-EEEFE330BB4F}"/>
            </a:ext>
          </a:extLst>
        </xdr:cNvPr>
        <xdr:cNvSpPr txBox="1"/>
      </xdr:nvSpPr>
      <xdr:spPr>
        <a:xfrm>
          <a:off x="1289241" y="5812954"/>
          <a:ext cx="1269372" cy="2742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r"/>
          <a:fld id="{54899C9D-CEA1-42FC-8599-2EA15BA876D0}" type="TxLink">
            <a:rPr lang="en-US" sz="1400" b="0" i="0" u="none" strike="noStrike">
              <a:solidFill>
                <a:schemeClr val="bg1"/>
              </a:solidFill>
              <a:latin typeface="Calibri"/>
              <a:ea typeface="Calibri"/>
              <a:cs typeface="Calibri"/>
            </a:rPr>
            <a:pPr algn="r"/>
            <a:t> ₹ 6,90,178 </a:t>
          </a:fld>
          <a:endParaRPr lang="en-IN" sz="1400">
            <a:solidFill>
              <a:schemeClr val="bg1"/>
            </a:solidFill>
          </a:endParaRPr>
        </a:p>
      </xdr:txBody>
    </xdr:sp>
    <xdr:clientData/>
  </xdr:twoCellAnchor>
  <xdr:twoCellAnchor>
    <xdr:from>
      <xdr:col>2</xdr:col>
      <xdr:colOff>79006</xdr:colOff>
      <xdr:row>31</xdr:row>
      <xdr:rowOff>168448</xdr:rowOff>
    </xdr:from>
    <xdr:to>
      <xdr:col>4</xdr:col>
      <xdr:colOff>138142</xdr:colOff>
      <xdr:row>33</xdr:row>
      <xdr:rowOff>61684</xdr:rowOff>
    </xdr:to>
    <xdr:sp macro="" textlink="PivotTables!F14">
      <xdr:nvSpPr>
        <xdr:cNvPr id="37" name="TextBox 36">
          <a:extLst>
            <a:ext uri="{FF2B5EF4-FFF2-40B4-BE49-F238E27FC236}">
              <a16:creationId xmlns:a16="http://schemas.microsoft.com/office/drawing/2014/main" id="{9C2E48FD-1F80-F5A6-2750-169F386DD19B}"/>
            </a:ext>
          </a:extLst>
        </xdr:cNvPr>
        <xdr:cNvSpPr txBox="1"/>
      </xdr:nvSpPr>
      <xdr:spPr>
        <a:xfrm>
          <a:off x="1289241" y="6073948"/>
          <a:ext cx="1269372" cy="2742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r"/>
          <a:fld id="{2CCE8B68-F443-431B-B896-082934C4318B}" type="TxLink">
            <a:rPr lang="en-US" sz="1400" b="0" i="0" u="none" strike="noStrike">
              <a:solidFill>
                <a:schemeClr val="bg1"/>
              </a:solidFill>
              <a:latin typeface="Calibri"/>
              <a:ea typeface="Calibri"/>
              <a:cs typeface="Calibri"/>
            </a:rPr>
            <a:pPr algn="r"/>
            <a:t> ₹ 4,85,400 </a:t>
          </a:fld>
          <a:endParaRPr lang="en-IN" sz="1400">
            <a:solidFill>
              <a:schemeClr val="bg1"/>
            </a:solidFill>
          </a:endParaRPr>
        </a:p>
      </xdr:txBody>
    </xdr:sp>
    <xdr:clientData/>
  </xdr:twoCellAnchor>
  <xdr:twoCellAnchor>
    <xdr:from>
      <xdr:col>2</xdr:col>
      <xdr:colOff>79006</xdr:colOff>
      <xdr:row>33</xdr:row>
      <xdr:rowOff>48443</xdr:rowOff>
    </xdr:from>
    <xdr:to>
      <xdr:col>4</xdr:col>
      <xdr:colOff>138142</xdr:colOff>
      <xdr:row>34</xdr:row>
      <xdr:rowOff>132179</xdr:rowOff>
    </xdr:to>
    <xdr:sp macro="" textlink="PivotTables!F13">
      <xdr:nvSpPr>
        <xdr:cNvPr id="38" name="TextBox 37">
          <a:extLst>
            <a:ext uri="{FF2B5EF4-FFF2-40B4-BE49-F238E27FC236}">
              <a16:creationId xmlns:a16="http://schemas.microsoft.com/office/drawing/2014/main" id="{FA853C2B-CEDE-77F9-85F6-191B98A74C2A}"/>
            </a:ext>
          </a:extLst>
        </xdr:cNvPr>
        <xdr:cNvSpPr txBox="1"/>
      </xdr:nvSpPr>
      <xdr:spPr>
        <a:xfrm>
          <a:off x="1289241" y="6334943"/>
          <a:ext cx="1269372" cy="2742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r"/>
          <a:fld id="{B2C7629B-4378-47D2-A75E-CE338BD638F5}" type="TxLink">
            <a:rPr lang="en-US" sz="1400" b="0" i="0" u="none" strike="noStrike">
              <a:solidFill>
                <a:schemeClr val="bg1"/>
              </a:solidFill>
              <a:latin typeface="Calibri"/>
              <a:ea typeface="Calibri"/>
              <a:cs typeface="Calibri"/>
            </a:rPr>
            <a:pPr algn="r"/>
            <a:t> ₹ 2,00,224 </a:t>
          </a:fld>
          <a:endParaRPr lang="en-IN" sz="1400">
            <a:solidFill>
              <a:schemeClr val="bg1"/>
            </a:solidFill>
          </a:endParaRPr>
        </a:p>
      </xdr:txBody>
    </xdr:sp>
    <xdr:clientData/>
  </xdr:twoCellAnchor>
  <xdr:twoCellAnchor>
    <xdr:from>
      <xdr:col>0</xdr:col>
      <xdr:colOff>375518</xdr:colOff>
      <xdr:row>27</xdr:row>
      <xdr:rowOff>168127</xdr:rowOff>
    </xdr:from>
    <xdr:to>
      <xdr:col>2</xdr:col>
      <xdr:colOff>155436</xdr:colOff>
      <xdr:row>29</xdr:row>
      <xdr:rowOff>20042</xdr:rowOff>
    </xdr:to>
    <xdr:sp macro="" textlink="">
      <xdr:nvSpPr>
        <xdr:cNvPr id="73" name="TextBox 72">
          <a:extLst>
            <a:ext uri="{FF2B5EF4-FFF2-40B4-BE49-F238E27FC236}">
              <a16:creationId xmlns:a16="http://schemas.microsoft.com/office/drawing/2014/main" id="{FBEEE6A1-F280-2044-0A72-D343BCF6FD46}"/>
            </a:ext>
          </a:extLst>
        </xdr:cNvPr>
        <xdr:cNvSpPr txBox="1"/>
      </xdr:nvSpPr>
      <xdr:spPr>
        <a:xfrm>
          <a:off x="375518" y="5311627"/>
          <a:ext cx="990153" cy="2329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a:r>
            <a:rPr lang="en-IN" sz="1100" b="0">
              <a:solidFill>
                <a:schemeClr val="bg1"/>
              </a:solidFill>
            </a:rPr>
            <a:t>Managers</a:t>
          </a:r>
        </a:p>
      </xdr:txBody>
    </xdr:sp>
    <xdr:clientData/>
  </xdr:twoCellAnchor>
  <xdr:twoCellAnchor>
    <xdr:from>
      <xdr:col>0</xdr:col>
      <xdr:colOff>375518</xdr:colOff>
      <xdr:row>29</xdr:row>
      <xdr:rowOff>48121</xdr:rowOff>
    </xdr:from>
    <xdr:to>
      <xdr:col>2</xdr:col>
      <xdr:colOff>155436</xdr:colOff>
      <xdr:row>30</xdr:row>
      <xdr:rowOff>90536</xdr:rowOff>
    </xdr:to>
    <xdr:sp macro="" textlink="">
      <xdr:nvSpPr>
        <xdr:cNvPr id="74" name="TextBox 73">
          <a:extLst>
            <a:ext uri="{FF2B5EF4-FFF2-40B4-BE49-F238E27FC236}">
              <a16:creationId xmlns:a16="http://schemas.microsoft.com/office/drawing/2014/main" id="{3869799D-592D-CE0E-71AC-D081FAC5CFDC}"/>
            </a:ext>
          </a:extLst>
        </xdr:cNvPr>
        <xdr:cNvSpPr txBox="1"/>
      </xdr:nvSpPr>
      <xdr:spPr>
        <a:xfrm>
          <a:off x="375518" y="5572621"/>
          <a:ext cx="990153" cy="2329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a:r>
            <a:rPr lang="en-IN" sz="1100" b="0">
              <a:solidFill>
                <a:schemeClr val="bg1"/>
              </a:solidFill>
            </a:rPr>
            <a:t>HR Specialists</a:t>
          </a:r>
        </a:p>
      </xdr:txBody>
    </xdr:sp>
    <xdr:clientData/>
  </xdr:twoCellAnchor>
  <xdr:twoCellAnchor>
    <xdr:from>
      <xdr:col>0</xdr:col>
      <xdr:colOff>375518</xdr:colOff>
      <xdr:row>30</xdr:row>
      <xdr:rowOff>118615</xdr:rowOff>
    </xdr:from>
    <xdr:to>
      <xdr:col>2</xdr:col>
      <xdr:colOff>155436</xdr:colOff>
      <xdr:row>31</xdr:row>
      <xdr:rowOff>161030</xdr:rowOff>
    </xdr:to>
    <xdr:sp macro="" textlink="">
      <xdr:nvSpPr>
        <xdr:cNvPr id="75" name="TextBox 74">
          <a:extLst>
            <a:ext uri="{FF2B5EF4-FFF2-40B4-BE49-F238E27FC236}">
              <a16:creationId xmlns:a16="http://schemas.microsoft.com/office/drawing/2014/main" id="{C23E53E8-DACB-12B0-9461-0CABDB4BD8BE}"/>
            </a:ext>
          </a:extLst>
        </xdr:cNvPr>
        <xdr:cNvSpPr txBox="1"/>
      </xdr:nvSpPr>
      <xdr:spPr>
        <a:xfrm>
          <a:off x="375518" y="5833615"/>
          <a:ext cx="990153" cy="2329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a:r>
            <a:rPr lang="en-IN" sz="1100" b="0">
              <a:solidFill>
                <a:schemeClr val="bg1"/>
              </a:solidFill>
            </a:rPr>
            <a:t>Developers</a:t>
          </a:r>
        </a:p>
      </xdr:txBody>
    </xdr:sp>
    <xdr:clientData/>
  </xdr:twoCellAnchor>
  <xdr:twoCellAnchor>
    <xdr:from>
      <xdr:col>0</xdr:col>
      <xdr:colOff>375518</xdr:colOff>
      <xdr:row>31</xdr:row>
      <xdr:rowOff>189109</xdr:rowOff>
    </xdr:from>
    <xdr:to>
      <xdr:col>2</xdr:col>
      <xdr:colOff>155436</xdr:colOff>
      <xdr:row>33</xdr:row>
      <xdr:rowOff>41024</xdr:rowOff>
    </xdr:to>
    <xdr:sp macro="" textlink="">
      <xdr:nvSpPr>
        <xdr:cNvPr id="76" name="TextBox 75">
          <a:extLst>
            <a:ext uri="{FF2B5EF4-FFF2-40B4-BE49-F238E27FC236}">
              <a16:creationId xmlns:a16="http://schemas.microsoft.com/office/drawing/2014/main" id="{861EB7B4-18C6-0408-DECC-BED7DD1CA693}"/>
            </a:ext>
          </a:extLst>
        </xdr:cNvPr>
        <xdr:cNvSpPr txBox="1"/>
      </xdr:nvSpPr>
      <xdr:spPr>
        <a:xfrm>
          <a:off x="375518" y="6094609"/>
          <a:ext cx="990153" cy="2329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a:r>
            <a:rPr lang="en-IN" sz="1100" b="0">
              <a:solidFill>
                <a:schemeClr val="bg1"/>
              </a:solidFill>
            </a:rPr>
            <a:t>Designers</a:t>
          </a:r>
        </a:p>
      </xdr:txBody>
    </xdr:sp>
    <xdr:clientData/>
  </xdr:twoCellAnchor>
  <xdr:twoCellAnchor>
    <xdr:from>
      <xdr:col>0</xdr:col>
      <xdr:colOff>375518</xdr:colOff>
      <xdr:row>33</xdr:row>
      <xdr:rowOff>69104</xdr:rowOff>
    </xdr:from>
    <xdr:to>
      <xdr:col>2</xdr:col>
      <xdr:colOff>155436</xdr:colOff>
      <xdr:row>34</xdr:row>
      <xdr:rowOff>111519</xdr:rowOff>
    </xdr:to>
    <xdr:sp macro="" textlink="">
      <xdr:nvSpPr>
        <xdr:cNvPr id="77" name="TextBox 76">
          <a:extLst>
            <a:ext uri="{FF2B5EF4-FFF2-40B4-BE49-F238E27FC236}">
              <a16:creationId xmlns:a16="http://schemas.microsoft.com/office/drawing/2014/main" id="{4E168A9B-735F-77C3-F14B-1A9EE7FCABDA}"/>
            </a:ext>
          </a:extLst>
        </xdr:cNvPr>
        <xdr:cNvSpPr txBox="1"/>
      </xdr:nvSpPr>
      <xdr:spPr>
        <a:xfrm>
          <a:off x="375518" y="6355604"/>
          <a:ext cx="990153" cy="2329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a:r>
            <a:rPr lang="en-IN" sz="1100" b="0">
              <a:solidFill>
                <a:schemeClr val="bg1"/>
              </a:solidFill>
            </a:rPr>
            <a:t>Analysts</a:t>
          </a:r>
        </a:p>
      </xdr:txBody>
    </xdr:sp>
    <xdr:clientData/>
  </xdr:twoCellAnchor>
  <xdr:twoCellAnchor>
    <xdr:from>
      <xdr:col>5</xdr:col>
      <xdr:colOff>414619</xdr:colOff>
      <xdr:row>25</xdr:row>
      <xdr:rowOff>36419</xdr:rowOff>
    </xdr:from>
    <xdr:to>
      <xdr:col>8</xdr:col>
      <xdr:colOff>313766</xdr:colOff>
      <xdr:row>26</xdr:row>
      <xdr:rowOff>112058</xdr:rowOff>
    </xdr:to>
    <xdr:sp macro="" textlink="">
      <xdr:nvSpPr>
        <xdr:cNvPr id="45" name="Rectangle: Rounded Corners 44">
          <a:extLst>
            <a:ext uri="{FF2B5EF4-FFF2-40B4-BE49-F238E27FC236}">
              <a16:creationId xmlns:a16="http://schemas.microsoft.com/office/drawing/2014/main" id="{173680D8-58B5-3F24-A29E-CE41B4AA5DF4}"/>
            </a:ext>
          </a:extLst>
        </xdr:cNvPr>
        <xdr:cNvSpPr/>
      </xdr:nvSpPr>
      <xdr:spPr>
        <a:xfrm>
          <a:off x="3440207" y="4798919"/>
          <a:ext cx="1714500" cy="266139"/>
        </a:xfrm>
        <a:prstGeom prst="roundRect">
          <a:avLst/>
        </a:prstGeom>
        <a:solidFill>
          <a:schemeClr val="bg2">
            <a:lumMod val="50000"/>
            <a:alpha val="3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457200</xdr:colOff>
      <xdr:row>23</xdr:row>
      <xdr:rowOff>20661</xdr:rowOff>
    </xdr:from>
    <xdr:to>
      <xdr:col>2</xdr:col>
      <xdr:colOff>257175</xdr:colOff>
      <xdr:row>28</xdr:row>
      <xdr:rowOff>85127</xdr:rowOff>
    </xdr:to>
    <xdr:pic>
      <xdr:nvPicPr>
        <xdr:cNvPr id="1083" name="Graphic 1082" descr="Bank check">
          <a:extLst>
            <a:ext uri="{FF2B5EF4-FFF2-40B4-BE49-F238E27FC236}">
              <a16:creationId xmlns:a16="http://schemas.microsoft.com/office/drawing/2014/main" id="{895F3F09-CE4F-02B2-56DF-F9D6465B9BFE}"/>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457200" y="4402161"/>
          <a:ext cx="1019175" cy="1016966"/>
        </a:xfrm>
        <a:prstGeom prst="rect">
          <a:avLst/>
        </a:prstGeom>
      </xdr:spPr>
    </xdr:pic>
    <xdr:clientData/>
  </xdr:twoCellAnchor>
  <xdr:twoCellAnchor>
    <xdr:from>
      <xdr:col>2</xdr:col>
      <xdr:colOff>216908</xdr:colOff>
      <xdr:row>28</xdr:row>
      <xdr:rowOff>8164</xdr:rowOff>
    </xdr:from>
    <xdr:to>
      <xdr:col>4</xdr:col>
      <xdr:colOff>207215</xdr:colOff>
      <xdr:row>29</xdr:row>
      <xdr:rowOff>38100</xdr:rowOff>
    </xdr:to>
    <xdr:sp macro="" textlink="">
      <xdr:nvSpPr>
        <xdr:cNvPr id="1089" name="Rectangle: Rounded Corners 1088">
          <a:extLst>
            <a:ext uri="{FF2B5EF4-FFF2-40B4-BE49-F238E27FC236}">
              <a16:creationId xmlns:a16="http://schemas.microsoft.com/office/drawing/2014/main" id="{C5B5F410-F9CE-4C72-8B0B-120FB023DC5B}"/>
            </a:ext>
          </a:extLst>
        </xdr:cNvPr>
        <xdr:cNvSpPr/>
      </xdr:nvSpPr>
      <xdr:spPr>
        <a:xfrm>
          <a:off x="1427143" y="5342164"/>
          <a:ext cx="1200543" cy="220436"/>
        </a:xfrm>
        <a:prstGeom prst="roundRect">
          <a:avLst/>
        </a:prstGeom>
        <a:solidFill>
          <a:schemeClr val="bg2">
            <a:lumMod val="50000"/>
            <a:alpha val="3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216908</xdr:colOff>
      <xdr:row>29</xdr:row>
      <xdr:rowOff>84364</xdr:rowOff>
    </xdr:from>
    <xdr:to>
      <xdr:col>4</xdr:col>
      <xdr:colOff>207215</xdr:colOff>
      <xdr:row>30</xdr:row>
      <xdr:rowOff>114300</xdr:rowOff>
    </xdr:to>
    <xdr:sp macro="" textlink="">
      <xdr:nvSpPr>
        <xdr:cNvPr id="1091" name="Rectangle: Rounded Corners 1090">
          <a:extLst>
            <a:ext uri="{FF2B5EF4-FFF2-40B4-BE49-F238E27FC236}">
              <a16:creationId xmlns:a16="http://schemas.microsoft.com/office/drawing/2014/main" id="{B23BA9E9-D8C7-42B7-BCFE-92B1C5473DC3}"/>
            </a:ext>
          </a:extLst>
        </xdr:cNvPr>
        <xdr:cNvSpPr/>
      </xdr:nvSpPr>
      <xdr:spPr>
        <a:xfrm>
          <a:off x="1427143" y="5608864"/>
          <a:ext cx="1200543" cy="220436"/>
        </a:xfrm>
        <a:prstGeom prst="roundRect">
          <a:avLst/>
        </a:prstGeom>
        <a:solidFill>
          <a:schemeClr val="bg2">
            <a:lumMod val="50000"/>
            <a:alpha val="3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216908</xdr:colOff>
      <xdr:row>30</xdr:row>
      <xdr:rowOff>166007</xdr:rowOff>
    </xdr:from>
    <xdr:to>
      <xdr:col>4</xdr:col>
      <xdr:colOff>207215</xdr:colOff>
      <xdr:row>32</xdr:row>
      <xdr:rowOff>5443</xdr:rowOff>
    </xdr:to>
    <xdr:sp macro="" textlink="">
      <xdr:nvSpPr>
        <xdr:cNvPr id="1092" name="Rectangle: Rounded Corners 1091">
          <a:extLst>
            <a:ext uri="{FF2B5EF4-FFF2-40B4-BE49-F238E27FC236}">
              <a16:creationId xmlns:a16="http://schemas.microsoft.com/office/drawing/2014/main" id="{D6BA6DB9-E0A1-4B12-8022-721F5357D04A}"/>
            </a:ext>
          </a:extLst>
        </xdr:cNvPr>
        <xdr:cNvSpPr/>
      </xdr:nvSpPr>
      <xdr:spPr>
        <a:xfrm>
          <a:off x="1427143" y="5881007"/>
          <a:ext cx="1200543" cy="220436"/>
        </a:xfrm>
        <a:prstGeom prst="roundRect">
          <a:avLst/>
        </a:prstGeom>
        <a:solidFill>
          <a:schemeClr val="bg2">
            <a:lumMod val="50000"/>
            <a:alpha val="3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216908</xdr:colOff>
      <xdr:row>32</xdr:row>
      <xdr:rowOff>46264</xdr:rowOff>
    </xdr:from>
    <xdr:to>
      <xdr:col>4</xdr:col>
      <xdr:colOff>207215</xdr:colOff>
      <xdr:row>33</xdr:row>
      <xdr:rowOff>76200</xdr:rowOff>
    </xdr:to>
    <xdr:sp macro="" textlink="">
      <xdr:nvSpPr>
        <xdr:cNvPr id="1093" name="Rectangle: Rounded Corners 1092">
          <a:extLst>
            <a:ext uri="{FF2B5EF4-FFF2-40B4-BE49-F238E27FC236}">
              <a16:creationId xmlns:a16="http://schemas.microsoft.com/office/drawing/2014/main" id="{035916CA-7A36-44A5-A703-EAB1669BCF11}"/>
            </a:ext>
          </a:extLst>
        </xdr:cNvPr>
        <xdr:cNvSpPr/>
      </xdr:nvSpPr>
      <xdr:spPr>
        <a:xfrm>
          <a:off x="1427143" y="6142264"/>
          <a:ext cx="1200543" cy="220436"/>
        </a:xfrm>
        <a:prstGeom prst="roundRect">
          <a:avLst/>
        </a:prstGeom>
        <a:solidFill>
          <a:schemeClr val="bg2">
            <a:lumMod val="50000"/>
            <a:alpha val="3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216908</xdr:colOff>
      <xdr:row>33</xdr:row>
      <xdr:rowOff>106135</xdr:rowOff>
    </xdr:from>
    <xdr:to>
      <xdr:col>4</xdr:col>
      <xdr:colOff>207215</xdr:colOff>
      <xdr:row>34</xdr:row>
      <xdr:rowOff>136071</xdr:rowOff>
    </xdr:to>
    <xdr:sp macro="" textlink="">
      <xdr:nvSpPr>
        <xdr:cNvPr id="1094" name="Rectangle: Rounded Corners 1093">
          <a:extLst>
            <a:ext uri="{FF2B5EF4-FFF2-40B4-BE49-F238E27FC236}">
              <a16:creationId xmlns:a16="http://schemas.microsoft.com/office/drawing/2014/main" id="{13B975F7-C579-47A2-AB19-25C6FE343272}"/>
            </a:ext>
          </a:extLst>
        </xdr:cNvPr>
        <xdr:cNvSpPr/>
      </xdr:nvSpPr>
      <xdr:spPr>
        <a:xfrm>
          <a:off x="1427143" y="6392635"/>
          <a:ext cx="1200543" cy="220436"/>
        </a:xfrm>
        <a:prstGeom prst="roundRect">
          <a:avLst/>
        </a:prstGeom>
        <a:solidFill>
          <a:schemeClr val="bg2">
            <a:lumMod val="50000"/>
            <a:alpha val="3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119111</xdr:colOff>
      <xdr:row>27</xdr:row>
      <xdr:rowOff>172531</xdr:rowOff>
    </xdr:from>
    <xdr:to>
      <xdr:col>8</xdr:col>
      <xdr:colOff>178247</xdr:colOff>
      <xdr:row>29</xdr:row>
      <xdr:rowOff>65767</xdr:rowOff>
    </xdr:to>
    <xdr:sp macro="" textlink="PivotTables!AI13">
      <xdr:nvSpPr>
        <xdr:cNvPr id="1097" name="TextBox 1096">
          <a:extLst>
            <a:ext uri="{FF2B5EF4-FFF2-40B4-BE49-F238E27FC236}">
              <a16:creationId xmlns:a16="http://schemas.microsoft.com/office/drawing/2014/main" id="{800EA1E0-66E1-46B4-5678-851460B420C9}"/>
            </a:ext>
          </a:extLst>
        </xdr:cNvPr>
        <xdr:cNvSpPr txBox="1"/>
      </xdr:nvSpPr>
      <xdr:spPr>
        <a:xfrm>
          <a:off x="3788743" y="5316031"/>
          <a:ext cx="1282346" cy="2742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r"/>
          <a:fld id="{D9CDC18A-3C8A-4027-A1CF-A7A74043CE28}" type="TxLink">
            <a:rPr lang="en-US" sz="1400" b="0" i="0" u="none" strike="noStrike">
              <a:solidFill>
                <a:schemeClr val="bg1"/>
              </a:solidFill>
              <a:latin typeface="Calibri"/>
              <a:ea typeface="Calibri"/>
              <a:cs typeface="Calibri"/>
            </a:rPr>
            <a:pPr marL="0" indent="0" algn="r"/>
            <a:t> ₹ 7,73,111 </a:t>
          </a:fld>
          <a:endParaRPr lang="en-IN" sz="1400" b="0" i="0" u="none" strike="noStrike">
            <a:solidFill>
              <a:schemeClr val="bg1"/>
            </a:solidFill>
            <a:latin typeface="Calibri"/>
            <a:ea typeface="Calibri"/>
            <a:cs typeface="Calibri"/>
          </a:endParaRPr>
        </a:p>
      </xdr:txBody>
    </xdr:sp>
    <xdr:clientData/>
  </xdr:twoCellAnchor>
  <xdr:twoCellAnchor>
    <xdr:from>
      <xdr:col>6</xdr:col>
      <xdr:colOff>119111</xdr:colOff>
      <xdr:row>29</xdr:row>
      <xdr:rowOff>52525</xdr:rowOff>
    </xdr:from>
    <xdr:to>
      <xdr:col>8</xdr:col>
      <xdr:colOff>178247</xdr:colOff>
      <xdr:row>30</xdr:row>
      <xdr:rowOff>136261</xdr:rowOff>
    </xdr:to>
    <xdr:sp macro="" textlink="PivotTables!AI14">
      <xdr:nvSpPr>
        <xdr:cNvPr id="1098" name="TextBox 1097">
          <a:extLst>
            <a:ext uri="{FF2B5EF4-FFF2-40B4-BE49-F238E27FC236}">
              <a16:creationId xmlns:a16="http://schemas.microsoft.com/office/drawing/2014/main" id="{ADEF2DE3-167D-E813-B07B-1A3D2FDCA47B}"/>
            </a:ext>
          </a:extLst>
        </xdr:cNvPr>
        <xdr:cNvSpPr txBox="1"/>
      </xdr:nvSpPr>
      <xdr:spPr>
        <a:xfrm>
          <a:off x="3788743" y="5577025"/>
          <a:ext cx="1282346" cy="2742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r"/>
          <a:fld id="{8528B5E6-EEB9-44A2-8733-BEDF9BB1B6C1}" type="TxLink">
            <a:rPr lang="en-US" sz="1400" b="0" i="0" u="none" strike="noStrike">
              <a:solidFill>
                <a:schemeClr val="bg1"/>
              </a:solidFill>
              <a:latin typeface="Calibri"/>
              <a:ea typeface="Calibri"/>
              <a:cs typeface="Calibri"/>
            </a:rPr>
            <a:pPr marL="0" indent="0" algn="r"/>
            <a:t> ₹ 6,82,757 </a:t>
          </a:fld>
          <a:endParaRPr lang="en-IN" sz="1400" b="0" i="0" u="none" strike="noStrike">
            <a:solidFill>
              <a:schemeClr val="bg1"/>
            </a:solidFill>
            <a:latin typeface="Calibri"/>
            <a:ea typeface="Calibri"/>
            <a:cs typeface="Calibri"/>
          </a:endParaRPr>
        </a:p>
      </xdr:txBody>
    </xdr:sp>
    <xdr:clientData/>
  </xdr:twoCellAnchor>
  <xdr:twoCellAnchor>
    <xdr:from>
      <xdr:col>6</xdr:col>
      <xdr:colOff>119111</xdr:colOff>
      <xdr:row>30</xdr:row>
      <xdr:rowOff>123019</xdr:rowOff>
    </xdr:from>
    <xdr:to>
      <xdr:col>8</xdr:col>
      <xdr:colOff>178247</xdr:colOff>
      <xdr:row>32</xdr:row>
      <xdr:rowOff>16255</xdr:rowOff>
    </xdr:to>
    <xdr:sp macro="" textlink="PivotTables!AI15">
      <xdr:nvSpPr>
        <xdr:cNvPr id="1099" name="TextBox 1098">
          <a:extLst>
            <a:ext uri="{FF2B5EF4-FFF2-40B4-BE49-F238E27FC236}">
              <a16:creationId xmlns:a16="http://schemas.microsoft.com/office/drawing/2014/main" id="{1877D5B9-C6E5-013B-17EF-FC1730C696A5}"/>
            </a:ext>
          </a:extLst>
        </xdr:cNvPr>
        <xdr:cNvSpPr txBox="1"/>
      </xdr:nvSpPr>
      <xdr:spPr>
        <a:xfrm>
          <a:off x="3788743" y="5838019"/>
          <a:ext cx="1282346" cy="2742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r"/>
          <a:fld id="{9E9EF84D-D6CA-4447-990B-B7B6A644575A}" type="TxLink">
            <a:rPr lang="en-US" sz="1400" b="0" i="0" u="none" strike="noStrike">
              <a:solidFill>
                <a:schemeClr val="bg1"/>
              </a:solidFill>
              <a:latin typeface="Calibri"/>
              <a:ea typeface="Calibri"/>
              <a:cs typeface="Calibri"/>
            </a:rPr>
            <a:pPr marL="0" indent="0" algn="r"/>
            <a:t> ₹ 6,47,960 </a:t>
          </a:fld>
          <a:endParaRPr lang="en-IN" sz="1400" b="0" i="0" u="none" strike="noStrike">
            <a:solidFill>
              <a:schemeClr val="bg1"/>
            </a:solidFill>
            <a:latin typeface="Calibri"/>
            <a:ea typeface="Calibri"/>
            <a:cs typeface="Calibri"/>
          </a:endParaRPr>
        </a:p>
      </xdr:txBody>
    </xdr:sp>
    <xdr:clientData/>
  </xdr:twoCellAnchor>
  <xdr:twoCellAnchor>
    <xdr:from>
      <xdr:col>6</xdr:col>
      <xdr:colOff>119111</xdr:colOff>
      <xdr:row>32</xdr:row>
      <xdr:rowOff>3013</xdr:rowOff>
    </xdr:from>
    <xdr:to>
      <xdr:col>8</xdr:col>
      <xdr:colOff>178247</xdr:colOff>
      <xdr:row>33</xdr:row>
      <xdr:rowOff>86749</xdr:rowOff>
    </xdr:to>
    <xdr:sp macro="" textlink="PivotTables!AI16">
      <xdr:nvSpPr>
        <xdr:cNvPr id="1100" name="TextBox 1099">
          <a:extLst>
            <a:ext uri="{FF2B5EF4-FFF2-40B4-BE49-F238E27FC236}">
              <a16:creationId xmlns:a16="http://schemas.microsoft.com/office/drawing/2014/main" id="{98D188AB-A797-1DB7-09E0-2BDA581E476D}"/>
            </a:ext>
          </a:extLst>
        </xdr:cNvPr>
        <xdr:cNvSpPr txBox="1"/>
      </xdr:nvSpPr>
      <xdr:spPr>
        <a:xfrm>
          <a:off x="3788743" y="6099013"/>
          <a:ext cx="1282346" cy="2742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r"/>
          <a:fld id="{CA7A6DE6-78F9-40BA-9FFF-F8F50586F043}" type="TxLink">
            <a:rPr lang="en-US" sz="1400" b="0" i="0" u="none" strike="noStrike">
              <a:solidFill>
                <a:schemeClr val="bg1"/>
              </a:solidFill>
              <a:latin typeface="Calibri"/>
              <a:ea typeface="Calibri"/>
              <a:cs typeface="Calibri"/>
            </a:rPr>
            <a:pPr marL="0" indent="0" algn="r"/>
            <a:t> ₹ 5,01,195 </a:t>
          </a:fld>
          <a:endParaRPr lang="en-IN" sz="1400" b="0" i="0" u="none" strike="noStrike">
            <a:solidFill>
              <a:schemeClr val="bg1"/>
            </a:solidFill>
            <a:latin typeface="Calibri"/>
            <a:ea typeface="Calibri"/>
            <a:cs typeface="Calibri"/>
          </a:endParaRPr>
        </a:p>
      </xdr:txBody>
    </xdr:sp>
    <xdr:clientData/>
  </xdr:twoCellAnchor>
  <xdr:twoCellAnchor>
    <xdr:from>
      <xdr:col>6</xdr:col>
      <xdr:colOff>119111</xdr:colOff>
      <xdr:row>33</xdr:row>
      <xdr:rowOff>73508</xdr:rowOff>
    </xdr:from>
    <xdr:to>
      <xdr:col>8</xdr:col>
      <xdr:colOff>178247</xdr:colOff>
      <xdr:row>34</xdr:row>
      <xdr:rowOff>157244</xdr:rowOff>
    </xdr:to>
    <xdr:sp macro="" textlink="PivotTables!AI17">
      <xdr:nvSpPr>
        <xdr:cNvPr id="1101" name="TextBox 1100">
          <a:extLst>
            <a:ext uri="{FF2B5EF4-FFF2-40B4-BE49-F238E27FC236}">
              <a16:creationId xmlns:a16="http://schemas.microsoft.com/office/drawing/2014/main" id="{F78E1BF9-B605-EA14-8A6B-54E14B2F6B4B}"/>
            </a:ext>
          </a:extLst>
        </xdr:cNvPr>
        <xdr:cNvSpPr txBox="1"/>
      </xdr:nvSpPr>
      <xdr:spPr>
        <a:xfrm>
          <a:off x="3788743" y="6360008"/>
          <a:ext cx="1282346" cy="2742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r"/>
          <a:fld id="{0AF9C680-D4C3-43F2-9AD8-1027DB50C648}" type="TxLink">
            <a:rPr lang="en-US" sz="1400" b="0" i="0" u="none" strike="noStrike">
              <a:solidFill>
                <a:schemeClr val="bg1"/>
              </a:solidFill>
              <a:latin typeface="Calibri"/>
              <a:ea typeface="Calibri"/>
              <a:cs typeface="Calibri"/>
            </a:rPr>
            <a:pPr marL="0" indent="0" algn="r"/>
            <a:t> ₹ 4,99,890 </a:t>
          </a:fld>
          <a:endParaRPr lang="en-IN" sz="1400" b="0" i="0" u="none" strike="noStrike">
            <a:solidFill>
              <a:schemeClr val="bg1"/>
            </a:solidFill>
            <a:latin typeface="Calibri"/>
            <a:ea typeface="Calibri"/>
            <a:cs typeface="Calibri"/>
          </a:endParaRPr>
        </a:p>
      </xdr:txBody>
    </xdr:sp>
    <xdr:clientData/>
  </xdr:twoCellAnchor>
  <xdr:twoCellAnchor>
    <xdr:from>
      <xdr:col>4</xdr:col>
      <xdr:colOff>415623</xdr:colOff>
      <xdr:row>28</xdr:row>
      <xdr:rowOff>2692</xdr:rowOff>
    </xdr:from>
    <xdr:to>
      <xdr:col>6</xdr:col>
      <xdr:colOff>195541</xdr:colOff>
      <xdr:row>29</xdr:row>
      <xdr:rowOff>45107</xdr:rowOff>
    </xdr:to>
    <xdr:sp macro="" textlink="">
      <xdr:nvSpPr>
        <xdr:cNvPr id="1102" name="TextBox 1101">
          <a:extLst>
            <a:ext uri="{FF2B5EF4-FFF2-40B4-BE49-F238E27FC236}">
              <a16:creationId xmlns:a16="http://schemas.microsoft.com/office/drawing/2014/main" id="{7E96CADF-AFCD-C1DF-DCCA-27D6CCCA4F00}"/>
            </a:ext>
          </a:extLst>
        </xdr:cNvPr>
        <xdr:cNvSpPr txBox="1"/>
      </xdr:nvSpPr>
      <xdr:spPr>
        <a:xfrm>
          <a:off x="2862044" y="5336692"/>
          <a:ext cx="1003129" cy="2329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a:r>
            <a:rPr lang="en-IN" sz="1100" b="0">
              <a:solidFill>
                <a:schemeClr val="bg1"/>
              </a:solidFill>
            </a:rPr>
            <a:t>Marketing</a:t>
          </a:r>
        </a:p>
      </xdr:txBody>
    </xdr:sp>
    <xdr:clientData/>
  </xdr:twoCellAnchor>
  <xdr:twoCellAnchor>
    <xdr:from>
      <xdr:col>4</xdr:col>
      <xdr:colOff>415623</xdr:colOff>
      <xdr:row>29</xdr:row>
      <xdr:rowOff>73186</xdr:rowOff>
    </xdr:from>
    <xdr:to>
      <xdr:col>6</xdr:col>
      <xdr:colOff>195541</xdr:colOff>
      <xdr:row>30</xdr:row>
      <xdr:rowOff>115601</xdr:rowOff>
    </xdr:to>
    <xdr:sp macro="" textlink="">
      <xdr:nvSpPr>
        <xdr:cNvPr id="1103" name="TextBox 1102">
          <a:extLst>
            <a:ext uri="{FF2B5EF4-FFF2-40B4-BE49-F238E27FC236}">
              <a16:creationId xmlns:a16="http://schemas.microsoft.com/office/drawing/2014/main" id="{84708587-48EF-D47C-D4B5-7412A8141A6B}"/>
            </a:ext>
          </a:extLst>
        </xdr:cNvPr>
        <xdr:cNvSpPr txBox="1"/>
      </xdr:nvSpPr>
      <xdr:spPr>
        <a:xfrm>
          <a:off x="2862044" y="5597686"/>
          <a:ext cx="1003129" cy="2329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a:r>
            <a:rPr lang="en-IN" sz="1100" b="0">
              <a:solidFill>
                <a:schemeClr val="bg1"/>
              </a:solidFill>
            </a:rPr>
            <a:t>Finance</a:t>
          </a:r>
        </a:p>
      </xdr:txBody>
    </xdr:sp>
    <xdr:clientData/>
  </xdr:twoCellAnchor>
  <xdr:twoCellAnchor>
    <xdr:from>
      <xdr:col>4</xdr:col>
      <xdr:colOff>415623</xdr:colOff>
      <xdr:row>30</xdr:row>
      <xdr:rowOff>143680</xdr:rowOff>
    </xdr:from>
    <xdr:to>
      <xdr:col>6</xdr:col>
      <xdr:colOff>195541</xdr:colOff>
      <xdr:row>31</xdr:row>
      <xdr:rowOff>186095</xdr:rowOff>
    </xdr:to>
    <xdr:sp macro="" textlink="">
      <xdr:nvSpPr>
        <xdr:cNvPr id="1104" name="TextBox 1103">
          <a:extLst>
            <a:ext uri="{FF2B5EF4-FFF2-40B4-BE49-F238E27FC236}">
              <a16:creationId xmlns:a16="http://schemas.microsoft.com/office/drawing/2014/main" id="{A2EEC929-3E93-DFFE-8FED-D5310B5373E6}"/>
            </a:ext>
          </a:extLst>
        </xdr:cNvPr>
        <xdr:cNvSpPr txBox="1"/>
      </xdr:nvSpPr>
      <xdr:spPr>
        <a:xfrm>
          <a:off x="2862044" y="5858680"/>
          <a:ext cx="1003129" cy="2329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a:r>
            <a:rPr lang="en-IN" sz="1100" b="0">
              <a:solidFill>
                <a:schemeClr val="bg1"/>
              </a:solidFill>
            </a:rPr>
            <a:t>HR</a:t>
          </a:r>
        </a:p>
      </xdr:txBody>
    </xdr:sp>
    <xdr:clientData/>
  </xdr:twoCellAnchor>
  <xdr:twoCellAnchor>
    <xdr:from>
      <xdr:col>4</xdr:col>
      <xdr:colOff>415623</xdr:colOff>
      <xdr:row>32</xdr:row>
      <xdr:rowOff>23674</xdr:rowOff>
    </xdr:from>
    <xdr:to>
      <xdr:col>6</xdr:col>
      <xdr:colOff>195541</xdr:colOff>
      <xdr:row>33</xdr:row>
      <xdr:rowOff>66089</xdr:rowOff>
    </xdr:to>
    <xdr:sp macro="" textlink="">
      <xdr:nvSpPr>
        <xdr:cNvPr id="1105" name="TextBox 1104">
          <a:extLst>
            <a:ext uri="{FF2B5EF4-FFF2-40B4-BE49-F238E27FC236}">
              <a16:creationId xmlns:a16="http://schemas.microsoft.com/office/drawing/2014/main" id="{679D4493-E173-188C-33B3-93AEEB7328E5}"/>
            </a:ext>
          </a:extLst>
        </xdr:cNvPr>
        <xdr:cNvSpPr txBox="1"/>
      </xdr:nvSpPr>
      <xdr:spPr>
        <a:xfrm>
          <a:off x="2862044" y="6119674"/>
          <a:ext cx="1003129" cy="2329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a:r>
            <a:rPr lang="en-IN" sz="1100" b="0">
              <a:solidFill>
                <a:schemeClr val="bg1"/>
              </a:solidFill>
            </a:rPr>
            <a:t>IT</a:t>
          </a:r>
        </a:p>
      </xdr:txBody>
    </xdr:sp>
    <xdr:clientData/>
  </xdr:twoCellAnchor>
  <xdr:twoCellAnchor>
    <xdr:from>
      <xdr:col>4</xdr:col>
      <xdr:colOff>415623</xdr:colOff>
      <xdr:row>33</xdr:row>
      <xdr:rowOff>94169</xdr:rowOff>
    </xdr:from>
    <xdr:to>
      <xdr:col>6</xdr:col>
      <xdr:colOff>195541</xdr:colOff>
      <xdr:row>34</xdr:row>
      <xdr:rowOff>136584</xdr:rowOff>
    </xdr:to>
    <xdr:sp macro="" textlink="">
      <xdr:nvSpPr>
        <xdr:cNvPr id="1106" name="TextBox 1105">
          <a:extLst>
            <a:ext uri="{FF2B5EF4-FFF2-40B4-BE49-F238E27FC236}">
              <a16:creationId xmlns:a16="http://schemas.microsoft.com/office/drawing/2014/main" id="{3BE621EE-1E78-DB70-9B2A-9B3D7356AEA1}"/>
            </a:ext>
          </a:extLst>
        </xdr:cNvPr>
        <xdr:cNvSpPr txBox="1"/>
      </xdr:nvSpPr>
      <xdr:spPr>
        <a:xfrm>
          <a:off x="2862044" y="6380669"/>
          <a:ext cx="1003129" cy="2329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a:r>
            <a:rPr lang="en-IN" sz="1100" b="0">
              <a:solidFill>
                <a:schemeClr val="bg1"/>
              </a:solidFill>
            </a:rPr>
            <a:t>Operations</a:t>
          </a:r>
        </a:p>
      </xdr:txBody>
    </xdr:sp>
    <xdr:clientData/>
  </xdr:twoCellAnchor>
  <xdr:twoCellAnchor>
    <xdr:from>
      <xdr:col>6</xdr:col>
      <xdr:colOff>257013</xdr:colOff>
      <xdr:row>28</xdr:row>
      <xdr:rowOff>33229</xdr:rowOff>
    </xdr:from>
    <xdr:to>
      <xdr:col>8</xdr:col>
      <xdr:colOff>247320</xdr:colOff>
      <xdr:row>29</xdr:row>
      <xdr:rowOff>63165</xdr:rowOff>
    </xdr:to>
    <xdr:sp macro="" textlink="">
      <xdr:nvSpPr>
        <xdr:cNvPr id="1107" name="Rectangle: Rounded Corners 1106">
          <a:extLst>
            <a:ext uri="{FF2B5EF4-FFF2-40B4-BE49-F238E27FC236}">
              <a16:creationId xmlns:a16="http://schemas.microsoft.com/office/drawing/2014/main" id="{E508317F-BDB1-385D-FF6F-8D789991E56E}"/>
            </a:ext>
          </a:extLst>
        </xdr:cNvPr>
        <xdr:cNvSpPr/>
      </xdr:nvSpPr>
      <xdr:spPr>
        <a:xfrm>
          <a:off x="3926645" y="5367229"/>
          <a:ext cx="1213517" cy="220436"/>
        </a:xfrm>
        <a:prstGeom prst="roundRect">
          <a:avLst/>
        </a:prstGeom>
        <a:solidFill>
          <a:schemeClr val="bg2">
            <a:lumMod val="50000"/>
            <a:alpha val="3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257013</xdr:colOff>
      <xdr:row>29</xdr:row>
      <xdr:rowOff>109429</xdr:rowOff>
    </xdr:from>
    <xdr:to>
      <xdr:col>8</xdr:col>
      <xdr:colOff>247320</xdr:colOff>
      <xdr:row>30</xdr:row>
      <xdr:rowOff>139365</xdr:rowOff>
    </xdr:to>
    <xdr:sp macro="" textlink="">
      <xdr:nvSpPr>
        <xdr:cNvPr id="1108" name="Rectangle: Rounded Corners 1107">
          <a:extLst>
            <a:ext uri="{FF2B5EF4-FFF2-40B4-BE49-F238E27FC236}">
              <a16:creationId xmlns:a16="http://schemas.microsoft.com/office/drawing/2014/main" id="{850D5AE1-86F2-AB45-0928-A3EBCC5A0EA4}"/>
            </a:ext>
          </a:extLst>
        </xdr:cNvPr>
        <xdr:cNvSpPr/>
      </xdr:nvSpPr>
      <xdr:spPr>
        <a:xfrm>
          <a:off x="3926645" y="5633929"/>
          <a:ext cx="1213517" cy="220436"/>
        </a:xfrm>
        <a:prstGeom prst="roundRect">
          <a:avLst/>
        </a:prstGeom>
        <a:solidFill>
          <a:schemeClr val="bg2">
            <a:lumMod val="50000"/>
            <a:alpha val="3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257013</xdr:colOff>
      <xdr:row>31</xdr:row>
      <xdr:rowOff>572</xdr:rowOff>
    </xdr:from>
    <xdr:to>
      <xdr:col>8</xdr:col>
      <xdr:colOff>247320</xdr:colOff>
      <xdr:row>32</xdr:row>
      <xdr:rowOff>30508</xdr:rowOff>
    </xdr:to>
    <xdr:sp macro="" textlink="">
      <xdr:nvSpPr>
        <xdr:cNvPr id="1109" name="Rectangle: Rounded Corners 1108">
          <a:extLst>
            <a:ext uri="{FF2B5EF4-FFF2-40B4-BE49-F238E27FC236}">
              <a16:creationId xmlns:a16="http://schemas.microsoft.com/office/drawing/2014/main" id="{A44F233D-F810-E1EA-AA72-A7186C4D37E9}"/>
            </a:ext>
          </a:extLst>
        </xdr:cNvPr>
        <xdr:cNvSpPr/>
      </xdr:nvSpPr>
      <xdr:spPr>
        <a:xfrm>
          <a:off x="3926645" y="5906072"/>
          <a:ext cx="1213517" cy="220436"/>
        </a:xfrm>
        <a:prstGeom prst="roundRect">
          <a:avLst/>
        </a:prstGeom>
        <a:solidFill>
          <a:schemeClr val="bg2">
            <a:lumMod val="50000"/>
            <a:alpha val="3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257013</xdr:colOff>
      <xdr:row>32</xdr:row>
      <xdr:rowOff>71329</xdr:rowOff>
    </xdr:from>
    <xdr:to>
      <xdr:col>8</xdr:col>
      <xdr:colOff>247320</xdr:colOff>
      <xdr:row>33</xdr:row>
      <xdr:rowOff>101265</xdr:rowOff>
    </xdr:to>
    <xdr:sp macro="" textlink="">
      <xdr:nvSpPr>
        <xdr:cNvPr id="1110" name="Rectangle: Rounded Corners 1109">
          <a:extLst>
            <a:ext uri="{FF2B5EF4-FFF2-40B4-BE49-F238E27FC236}">
              <a16:creationId xmlns:a16="http://schemas.microsoft.com/office/drawing/2014/main" id="{6859705E-618D-DB8B-15ED-ECEDC5CA015B}"/>
            </a:ext>
          </a:extLst>
        </xdr:cNvPr>
        <xdr:cNvSpPr/>
      </xdr:nvSpPr>
      <xdr:spPr>
        <a:xfrm>
          <a:off x="3926645" y="6167329"/>
          <a:ext cx="1213517" cy="220436"/>
        </a:xfrm>
        <a:prstGeom prst="roundRect">
          <a:avLst/>
        </a:prstGeom>
        <a:solidFill>
          <a:schemeClr val="bg2">
            <a:lumMod val="50000"/>
            <a:alpha val="3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257013</xdr:colOff>
      <xdr:row>33</xdr:row>
      <xdr:rowOff>131200</xdr:rowOff>
    </xdr:from>
    <xdr:to>
      <xdr:col>8</xdr:col>
      <xdr:colOff>247320</xdr:colOff>
      <xdr:row>34</xdr:row>
      <xdr:rowOff>161136</xdr:rowOff>
    </xdr:to>
    <xdr:sp macro="" textlink="">
      <xdr:nvSpPr>
        <xdr:cNvPr id="1111" name="Rectangle: Rounded Corners 1110">
          <a:extLst>
            <a:ext uri="{FF2B5EF4-FFF2-40B4-BE49-F238E27FC236}">
              <a16:creationId xmlns:a16="http://schemas.microsoft.com/office/drawing/2014/main" id="{758DE7B6-311D-2717-DB81-DB67FBE0D8B8}"/>
            </a:ext>
          </a:extLst>
        </xdr:cNvPr>
        <xdr:cNvSpPr/>
      </xdr:nvSpPr>
      <xdr:spPr>
        <a:xfrm>
          <a:off x="3926645" y="6417700"/>
          <a:ext cx="1213517" cy="220436"/>
        </a:xfrm>
        <a:prstGeom prst="roundRect">
          <a:avLst/>
        </a:prstGeom>
        <a:solidFill>
          <a:schemeClr val="bg2">
            <a:lumMod val="50000"/>
            <a:alpha val="3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543254</xdr:colOff>
      <xdr:row>24</xdr:row>
      <xdr:rowOff>30949</xdr:rowOff>
    </xdr:from>
    <xdr:to>
      <xdr:col>12</xdr:col>
      <xdr:colOff>571500</xdr:colOff>
      <xdr:row>35</xdr:row>
      <xdr:rowOff>0</xdr:rowOff>
    </xdr:to>
    <xdr:grpSp>
      <xdr:nvGrpSpPr>
        <xdr:cNvPr id="1117" name="Group 1116">
          <a:extLst>
            <a:ext uri="{FF2B5EF4-FFF2-40B4-BE49-F238E27FC236}">
              <a16:creationId xmlns:a16="http://schemas.microsoft.com/office/drawing/2014/main" id="{F7102945-D654-4BA7-3731-44DF10348CEF}"/>
            </a:ext>
          </a:extLst>
        </xdr:cNvPr>
        <xdr:cNvGrpSpPr/>
      </xdr:nvGrpSpPr>
      <xdr:grpSpPr>
        <a:xfrm>
          <a:off x="5420054" y="4602949"/>
          <a:ext cx="2466646" cy="2064551"/>
          <a:chOff x="5420054" y="4602949"/>
          <a:chExt cx="2466646" cy="2064551"/>
        </a:xfrm>
      </xdr:grpSpPr>
      <xdr:grpSp>
        <xdr:nvGrpSpPr>
          <xdr:cNvPr id="1113" name="Group 1112">
            <a:extLst>
              <a:ext uri="{FF2B5EF4-FFF2-40B4-BE49-F238E27FC236}">
                <a16:creationId xmlns:a16="http://schemas.microsoft.com/office/drawing/2014/main" id="{6F8EA645-2B37-4948-817C-9656A0BE3594}"/>
              </a:ext>
            </a:extLst>
          </xdr:cNvPr>
          <xdr:cNvGrpSpPr/>
        </xdr:nvGrpSpPr>
        <xdr:grpSpPr>
          <a:xfrm>
            <a:off x="5420054" y="4602949"/>
            <a:ext cx="2466646" cy="2064551"/>
            <a:chOff x="2822658" y="2680020"/>
            <a:chExt cx="2536909" cy="1871403"/>
          </a:xfrm>
        </xdr:grpSpPr>
        <xdr:sp macro="" textlink="">
          <xdr:nvSpPr>
            <xdr:cNvPr id="1114" name="Rectangle: Rounded Corners 1113">
              <a:extLst>
                <a:ext uri="{FF2B5EF4-FFF2-40B4-BE49-F238E27FC236}">
                  <a16:creationId xmlns:a16="http://schemas.microsoft.com/office/drawing/2014/main" id="{E2524F30-E06C-6689-2A1E-89F0BE32EC95}"/>
                </a:ext>
              </a:extLst>
            </xdr:cNvPr>
            <xdr:cNvSpPr/>
          </xdr:nvSpPr>
          <xdr:spPr>
            <a:xfrm>
              <a:off x="2822658" y="2680020"/>
              <a:ext cx="2536909" cy="1871403"/>
            </a:xfrm>
            <a:prstGeom prst="roundRect">
              <a:avLst>
                <a:gd name="adj" fmla="val 8200"/>
              </a:avLst>
            </a:prstGeom>
            <a:solidFill>
              <a:schemeClr val="tx1">
                <a:lumMod val="65000"/>
                <a:lumOff val="3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116" name="TextBox 1115">
              <a:extLst>
                <a:ext uri="{FF2B5EF4-FFF2-40B4-BE49-F238E27FC236}">
                  <a16:creationId xmlns:a16="http://schemas.microsoft.com/office/drawing/2014/main" id="{0946DDE5-F824-ED99-8B13-F807190EF3D7}"/>
                </a:ext>
              </a:extLst>
            </xdr:cNvPr>
            <xdr:cNvSpPr txBox="1"/>
          </xdr:nvSpPr>
          <xdr:spPr>
            <a:xfrm>
              <a:off x="3259996" y="2701304"/>
              <a:ext cx="1730110" cy="246682"/>
            </a:xfrm>
            <a:prstGeom prst="rect">
              <a:avLst/>
            </a:prstGeom>
            <a:solidFill>
              <a:schemeClr val="tx1">
                <a:lumMod val="65000"/>
                <a:lumOff val="3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a:r>
                <a:rPr lang="en-IN" sz="1400" b="1">
                  <a:solidFill>
                    <a:schemeClr val="bg1">
                      <a:lumMod val="95000"/>
                    </a:schemeClr>
                  </a:solidFill>
                  <a:latin typeface="+mn-lt"/>
                  <a:ea typeface="+mn-ea"/>
                  <a:cs typeface="+mn-cs"/>
                </a:rPr>
                <a:t>Employment Status</a:t>
              </a:r>
            </a:p>
          </xdr:txBody>
        </xdr:sp>
      </xdr:grpSp>
      <xdr:graphicFrame macro="">
        <xdr:nvGraphicFramePr>
          <xdr:cNvPr id="56" name="Chart 55">
            <a:extLst>
              <a:ext uri="{FF2B5EF4-FFF2-40B4-BE49-F238E27FC236}">
                <a16:creationId xmlns:a16="http://schemas.microsoft.com/office/drawing/2014/main" id="{CEEFA032-2F86-4CE5-9793-09B8600D1FC6}"/>
              </a:ext>
            </a:extLst>
          </xdr:cNvPr>
          <xdr:cNvGraphicFramePr>
            <a:graphicFrameLocks/>
          </xdr:cNvGraphicFramePr>
        </xdr:nvGraphicFramePr>
        <xdr:xfrm>
          <a:off x="5557654" y="4972049"/>
          <a:ext cx="2179959" cy="1554647"/>
        </xdr:xfrm>
        <a:graphic>
          <a:graphicData uri="http://schemas.openxmlformats.org/drawingml/2006/chart">
            <c:chart xmlns:c="http://schemas.openxmlformats.org/drawingml/2006/chart" xmlns:r="http://schemas.openxmlformats.org/officeDocument/2006/relationships" r:id="rId20"/>
          </a:graphicData>
        </a:graphic>
      </xdr:graphicFrame>
    </xdr:grpSp>
    <xdr:clientData/>
  </xdr:twoCellAnchor>
  <xdr:twoCellAnchor editAs="oneCell">
    <xdr:from>
      <xdr:col>5</xdr:col>
      <xdr:colOff>428626</xdr:colOff>
      <xdr:row>0</xdr:row>
      <xdr:rowOff>95250</xdr:rowOff>
    </xdr:from>
    <xdr:to>
      <xdr:col>6</xdr:col>
      <xdr:colOff>328476</xdr:colOff>
      <xdr:row>3</xdr:row>
      <xdr:rowOff>19050</xdr:rowOff>
    </xdr:to>
    <xdr:pic>
      <xdr:nvPicPr>
        <xdr:cNvPr id="7" name="Graphic 6" descr="Group of people">
          <a:extLst>
            <a:ext uri="{FF2B5EF4-FFF2-40B4-BE49-F238E27FC236}">
              <a16:creationId xmlns:a16="http://schemas.microsoft.com/office/drawing/2014/main" id="{4D71DB0F-D12B-6C68-228B-EE7D6CAD3E17}"/>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3476626" y="95250"/>
          <a:ext cx="509450" cy="4953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khil Ullal" refreshedDate="45703.580212962966" createdVersion="8" refreshedVersion="8" minRefreshableVersion="3" recordCount="50" xr:uid="{5B84B3CD-E17E-49BC-BA87-E53EC515BC54}">
  <cacheSource type="worksheet">
    <worksheetSource name="RawData"/>
  </cacheSource>
  <cacheFields count="24">
    <cacheField name="Employee ID" numFmtId="0">
      <sharedItems containsSemiMixedTypes="0" containsString="0" containsNumber="1" containsInteger="1" minValue="1550" maxValue="9968"/>
    </cacheField>
    <cacheField name="Full Name" numFmtId="0">
      <sharedItems/>
    </cacheField>
    <cacheField name="Gender" numFmtId="0">
      <sharedItems count="2">
        <s v="Male"/>
        <s v="Female"/>
      </sharedItems>
    </cacheField>
    <cacheField name="Age" numFmtId="0">
      <sharedItems containsSemiMixedTypes="0" containsString="0" containsNumber="1" containsInteger="1" minValue="20" maxValue="60"/>
    </cacheField>
    <cacheField name="Age range" numFmtId="0">
      <sharedItems count="7">
        <s v="18-25"/>
        <s v="26-35"/>
        <s v="&gt;=56"/>
        <s v="46-55"/>
        <s v="36-45"/>
        <s v="&gt;56" u="1"/>
        <s v="56 &lt;" u="1"/>
      </sharedItems>
    </cacheField>
    <cacheField name="Region" numFmtId="0">
      <sharedItems count="5">
        <s v="Central"/>
        <s v="North"/>
        <s v="West"/>
        <s v="South"/>
        <s v="East"/>
      </sharedItems>
    </cacheField>
    <cacheField name="Job Title" numFmtId="0">
      <sharedItems count="5">
        <s v="Manager"/>
        <s v="HR Specialist"/>
        <s v="Developer"/>
        <s v="Designer"/>
        <s v="Analyst"/>
      </sharedItems>
    </cacheField>
    <cacheField name="Department" numFmtId="0">
      <sharedItems count="5">
        <s v="Finance"/>
        <s v="HR"/>
        <s v="Operations"/>
        <s v="Marketing"/>
        <s v="IT"/>
      </sharedItems>
    </cacheField>
    <cacheField name="Manager/Supervisor" numFmtId="0">
      <sharedItems/>
    </cacheField>
    <cacheField name="Date of Hire" numFmtId="0">
      <sharedItems/>
    </cacheField>
    <cacheField name="Years of Service" numFmtId="0">
      <sharedItems containsSemiMixedTypes="0" containsString="0" containsNumber="1" containsInteger="1" minValue="1" maxValue="11"/>
    </cacheField>
    <cacheField name="Tenure in Months" numFmtId="0">
      <sharedItems containsSemiMixedTypes="0" containsString="0" containsNumber="1" containsInteger="1" minValue="5" maxValue="122"/>
    </cacheField>
    <cacheField name="Employment Status" numFmtId="0">
      <sharedItems count="3">
        <s v="Full-Time"/>
        <s v="Contract"/>
        <s v="Part-Time"/>
      </sharedItems>
    </cacheField>
    <cacheField name="Work Location" numFmtId="0">
      <sharedItems count="3">
        <s v="Remote"/>
        <s v="Branch Office"/>
        <s v="Head Office"/>
      </sharedItems>
    </cacheField>
    <cacheField name="Salary" numFmtId="164">
      <sharedItems containsSemiMixedTypes="0" containsString="0" containsNumber="1" containsInteger="1" minValue="30137" maxValue="98961"/>
    </cacheField>
    <cacheField name="Pay Grade" numFmtId="0">
      <sharedItems/>
    </cacheField>
    <cacheField name="Bonus/Allowances" numFmtId="0">
      <sharedItems containsSemiMixedTypes="0" containsString="0" containsNumber="1" containsInteger="1" minValue="1024" maxValue="9911"/>
    </cacheField>
    <cacheField name="Insurance Details" numFmtId="0">
      <sharedItems/>
    </cacheField>
    <cacheField name="Leave Taken" numFmtId="0">
      <sharedItems containsSemiMixedTypes="0" containsString="0" containsNumber="1" containsInteger="1" minValue="0" maxValue="20"/>
    </cacheField>
    <cacheField name="Performance Rating" numFmtId="0">
      <sharedItems containsSemiMixedTypes="0" containsString="0" containsNumber="1" containsInteger="1" minValue="1" maxValue="5"/>
    </cacheField>
    <cacheField name="Performance Bonus Eligibility" numFmtId="0">
      <sharedItems/>
    </cacheField>
    <cacheField name="Training Programs Attended" numFmtId="0">
      <sharedItems/>
    </cacheField>
    <cacheField name="Skills" numFmtId="0">
      <sharedItems count="5">
        <s v="Excel"/>
        <s v="Communication"/>
        <s v="Python"/>
        <s v="Management"/>
        <s v="Design"/>
      </sharedItems>
    </cacheField>
    <cacheField name="Certifications" numFmtId="0">
      <sharedItems/>
    </cacheField>
  </cacheFields>
  <extLst>
    <ext xmlns:x14="http://schemas.microsoft.com/office/spreadsheetml/2009/9/main" uri="{725AE2AE-9491-48be-B2B4-4EB974FC3084}">
      <x14:pivotCacheDefinition pivotCacheId="180634965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n v="1550"/>
    <s v="Timothy Aguilar"/>
    <x v="0"/>
    <n v="21"/>
    <x v="0"/>
    <x v="0"/>
    <x v="0"/>
    <x v="0"/>
    <s v="Michael Wade"/>
    <s v="2019-06-27"/>
    <n v="6"/>
    <n v="67"/>
    <x v="0"/>
    <x v="0"/>
    <n v="95510"/>
    <s v="C"/>
    <n v="6811"/>
    <s v="Health"/>
    <n v="18"/>
    <n v="4"/>
    <s v="Yes"/>
    <s v="Excel Workshop"/>
    <x v="0"/>
    <s v="Certified Professional"/>
  </r>
  <r>
    <n v="1952"/>
    <s v="Anna Payne"/>
    <x v="1"/>
    <n v="29"/>
    <x v="1"/>
    <x v="1"/>
    <x v="0"/>
    <x v="1"/>
    <s v="Thomas Murphy"/>
    <s v="2024-03-27"/>
    <n v="1"/>
    <n v="10"/>
    <x v="0"/>
    <x v="0"/>
    <n v="45188"/>
    <s v="A"/>
    <n v="9591"/>
    <s v="Health + Dental"/>
    <n v="18"/>
    <n v="3"/>
    <s v="No"/>
    <s v="Leadership Training"/>
    <x v="1"/>
    <s v="None"/>
  </r>
  <r>
    <n v="1955"/>
    <s v="Cassie Galvan"/>
    <x v="1"/>
    <n v="58"/>
    <x v="2"/>
    <x v="2"/>
    <x v="1"/>
    <x v="1"/>
    <s v="Aaron Baker"/>
    <s v="2017-04-20"/>
    <n v="8"/>
    <n v="93"/>
    <x v="1"/>
    <x v="0"/>
    <n v="46567"/>
    <s v="A"/>
    <n v="2825"/>
    <s v="Health"/>
    <n v="15"/>
    <n v="3"/>
    <s v="No"/>
    <s v="None"/>
    <x v="0"/>
    <s v="Advanced Training"/>
  </r>
  <r>
    <n v="2263"/>
    <s v="Dustin Carter"/>
    <x v="0"/>
    <n v="31"/>
    <x v="1"/>
    <x v="3"/>
    <x v="1"/>
    <x v="1"/>
    <s v="Douglas Miles"/>
    <s v="2021-08-01"/>
    <n v="4"/>
    <n v="42"/>
    <x v="1"/>
    <x v="1"/>
    <n v="87538"/>
    <s v="C"/>
    <n v="3588"/>
    <s v="Health + Dental"/>
    <n v="11"/>
    <n v="5"/>
    <s v="Yes"/>
    <s v="Excel Workshop"/>
    <x v="2"/>
    <s v="None"/>
  </r>
  <r>
    <n v="2436"/>
    <s v="Tanner Morse"/>
    <x v="0"/>
    <n v="60"/>
    <x v="2"/>
    <x v="1"/>
    <x v="0"/>
    <x v="2"/>
    <s v="Adam Johnson"/>
    <s v="2015-11-16"/>
    <n v="10"/>
    <n v="110"/>
    <x v="1"/>
    <x v="0"/>
    <n v="70452"/>
    <s v="D"/>
    <n v="9911"/>
    <s v="None"/>
    <n v="2"/>
    <n v="1"/>
    <s v="No"/>
    <s v="None"/>
    <x v="1"/>
    <s v="Certified Professional"/>
  </r>
  <r>
    <n v="2873"/>
    <s v="Courtney Foster"/>
    <x v="1"/>
    <n v="28"/>
    <x v="1"/>
    <x v="2"/>
    <x v="2"/>
    <x v="3"/>
    <s v="Dorothy Price"/>
    <s v="2017-01-23"/>
    <n v="8"/>
    <n v="96"/>
    <x v="0"/>
    <x v="1"/>
    <n v="96249"/>
    <s v="C"/>
    <n v="4826"/>
    <s v="Health + Dental"/>
    <n v="7"/>
    <n v="3"/>
    <s v="No"/>
    <s v="Leadership Training"/>
    <x v="1"/>
    <s v="Certified Professional"/>
  </r>
  <r>
    <n v="3078"/>
    <s v="Emily Walker"/>
    <x v="1"/>
    <n v="21"/>
    <x v="0"/>
    <x v="4"/>
    <x v="0"/>
    <x v="4"/>
    <s v="Sean Tucker PhD"/>
    <s v="2018-11-29"/>
    <n v="7"/>
    <n v="74"/>
    <x v="1"/>
    <x v="0"/>
    <n v="59506"/>
    <s v="A"/>
    <n v="4428"/>
    <s v="Health + Dental"/>
    <n v="0"/>
    <n v="1"/>
    <s v="No"/>
    <s v="None"/>
    <x v="1"/>
    <s v="Certified Professional"/>
  </r>
  <r>
    <n v="3104"/>
    <s v="Carolyn Bullock"/>
    <x v="1"/>
    <n v="23"/>
    <x v="0"/>
    <x v="3"/>
    <x v="0"/>
    <x v="1"/>
    <s v="Joseph Francis"/>
    <s v="2024-05-22"/>
    <n v="1"/>
    <n v="8"/>
    <x v="2"/>
    <x v="1"/>
    <n v="37351"/>
    <s v="D"/>
    <n v="7858"/>
    <s v="Health + Dental"/>
    <n v="18"/>
    <n v="2"/>
    <s v="No"/>
    <s v="Leadership Training"/>
    <x v="3"/>
    <s v="Advanced Training"/>
  </r>
  <r>
    <n v="3358"/>
    <s v="Kevin Bell"/>
    <x v="0"/>
    <n v="30"/>
    <x v="1"/>
    <x v="0"/>
    <x v="0"/>
    <x v="1"/>
    <s v="Brian Boyd"/>
    <s v="2022-05-09"/>
    <n v="3"/>
    <n v="33"/>
    <x v="0"/>
    <x v="2"/>
    <n v="59007"/>
    <s v="C"/>
    <n v="3380"/>
    <s v="Health"/>
    <n v="17"/>
    <n v="3"/>
    <s v="No"/>
    <s v="None"/>
    <x v="0"/>
    <s v="Certified Professional"/>
  </r>
  <r>
    <n v="3487"/>
    <s v="Paul Hall"/>
    <x v="0"/>
    <n v="58"/>
    <x v="2"/>
    <x v="0"/>
    <x v="3"/>
    <x v="2"/>
    <s v="Kristin Shaffer"/>
    <s v="2018-07-09"/>
    <n v="7"/>
    <n v="79"/>
    <x v="1"/>
    <x v="0"/>
    <n v="74789"/>
    <s v="C"/>
    <n v="8101"/>
    <s v="Health + Dental"/>
    <n v="14"/>
    <n v="5"/>
    <s v="Yes"/>
    <s v="Excel Workshop"/>
    <x v="2"/>
    <s v="None"/>
  </r>
  <r>
    <n v="3540"/>
    <s v="Catherine Hall"/>
    <x v="1"/>
    <n v="20"/>
    <x v="0"/>
    <x v="0"/>
    <x v="2"/>
    <x v="3"/>
    <s v="Michele Sexton"/>
    <s v="2024-08-17"/>
    <n v="1"/>
    <n v="5"/>
    <x v="0"/>
    <x v="0"/>
    <n v="61596"/>
    <s v="C"/>
    <n v="8818"/>
    <s v="Health + Dental"/>
    <n v="4"/>
    <n v="2"/>
    <s v="No"/>
    <s v="Leadership Training"/>
    <x v="3"/>
    <s v="None"/>
  </r>
  <r>
    <n v="3653"/>
    <s v="Deanna Ball"/>
    <x v="1"/>
    <n v="58"/>
    <x v="2"/>
    <x v="3"/>
    <x v="3"/>
    <x v="4"/>
    <s v="Richard Schmidt"/>
    <s v="2014-12-09"/>
    <n v="11"/>
    <n v="122"/>
    <x v="0"/>
    <x v="0"/>
    <n v="97869"/>
    <s v="A"/>
    <n v="1966"/>
    <s v="Health"/>
    <n v="10"/>
    <n v="1"/>
    <s v="No"/>
    <s v="Leadership Training"/>
    <x v="4"/>
    <s v="Certified Professional"/>
  </r>
  <r>
    <n v="4294"/>
    <s v="Lori Nguyen"/>
    <x v="1"/>
    <n v="25"/>
    <x v="0"/>
    <x v="4"/>
    <x v="0"/>
    <x v="0"/>
    <s v="Luis Reynolds"/>
    <s v="2019-03-15"/>
    <n v="6"/>
    <n v="71"/>
    <x v="0"/>
    <x v="2"/>
    <n v="53700"/>
    <s v="C"/>
    <n v="1463"/>
    <s v="Health"/>
    <n v="1"/>
    <n v="1"/>
    <s v="No"/>
    <s v="Leadership Training"/>
    <x v="4"/>
    <s v="Certified Professional"/>
  </r>
  <r>
    <n v="4441"/>
    <s v="Jose Griffin"/>
    <x v="0"/>
    <n v="46"/>
    <x v="3"/>
    <x v="0"/>
    <x v="2"/>
    <x v="0"/>
    <s v="Nicole Dominguez"/>
    <s v="2023-09-09"/>
    <n v="2"/>
    <n v="17"/>
    <x v="0"/>
    <x v="1"/>
    <n v="33045"/>
    <s v="B"/>
    <n v="1456"/>
    <s v="None"/>
    <n v="16"/>
    <n v="3"/>
    <s v="No"/>
    <s v="Excel Workshop"/>
    <x v="1"/>
    <s v="None"/>
  </r>
  <r>
    <n v="4522"/>
    <s v="Jessica Jones"/>
    <x v="1"/>
    <n v="36"/>
    <x v="4"/>
    <x v="4"/>
    <x v="4"/>
    <x v="0"/>
    <s v="Christopher Bass"/>
    <s v="2019-07-22"/>
    <n v="6"/>
    <n v="66"/>
    <x v="1"/>
    <x v="1"/>
    <n v="39795"/>
    <s v="A"/>
    <n v="1670"/>
    <s v="None"/>
    <n v="0"/>
    <n v="2"/>
    <s v="No"/>
    <s v="Excel Workshop"/>
    <x v="1"/>
    <s v="None"/>
  </r>
  <r>
    <n v="5087"/>
    <s v="Michael Thomas"/>
    <x v="0"/>
    <n v="28"/>
    <x v="1"/>
    <x v="2"/>
    <x v="4"/>
    <x v="0"/>
    <s v="Aaron Hart"/>
    <s v="2021-09-15"/>
    <n v="4"/>
    <n v="41"/>
    <x v="1"/>
    <x v="0"/>
    <n v="46326"/>
    <s v="B"/>
    <n v="9189"/>
    <s v="Health + Dental"/>
    <n v="8"/>
    <n v="4"/>
    <s v="Yes"/>
    <s v="Leadership Training"/>
    <x v="1"/>
    <s v="Advanced Training"/>
  </r>
  <r>
    <n v="5096"/>
    <s v="Kevin Whitaker"/>
    <x v="0"/>
    <n v="36"/>
    <x v="4"/>
    <x v="0"/>
    <x v="4"/>
    <x v="2"/>
    <s v="Mary Welch"/>
    <s v="2021-03-02"/>
    <n v="4"/>
    <n v="47"/>
    <x v="0"/>
    <x v="1"/>
    <n v="46811"/>
    <s v="D"/>
    <n v="1567"/>
    <s v="None"/>
    <n v="7"/>
    <n v="3"/>
    <s v="No"/>
    <s v="Excel Workshop"/>
    <x v="4"/>
    <s v="Advanced Training"/>
  </r>
  <r>
    <n v="5120"/>
    <s v="Jeremy Nguyen"/>
    <x v="0"/>
    <n v="34"/>
    <x v="1"/>
    <x v="2"/>
    <x v="2"/>
    <x v="3"/>
    <s v="Cassandra Duncan"/>
    <s v="2022-08-10"/>
    <n v="3"/>
    <n v="30"/>
    <x v="0"/>
    <x v="0"/>
    <n v="57538"/>
    <s v="D"/>
    <n v="1674"/>
    <s v="None"/>
    <n v="8"/>
    <n v="1"/>
    <s v="No"/>
    <s v="None"/>
    <x v="3"/>
    <s v="Advanced Training"/>
  </r>
  <r>
    <n v="5184"/>
    <s v="Elaine Mcclain"/>
    <x v="1"/>
    <n v="24"/>
    <x v="0"/>
    <x v="0"/>
    <x v="2"/>
    <x v="3"/>
    <s v="Gabrielle Rodriguez"/>
    <s v="2017-03-10"/>
    <n v="8"/>
    <n v="95"/>
    <x v="2"/>
    <x v="0"/>
    <n v="33183"/>
    <s v="A"/>
    <n v="8114"/>
    <s v="None"/>
    <n v="4"/>
    <n v="2"/>
    <s v="No"/>
    <s v="Excel Workshop"/>
    <x v="0"/>
    <s v="Advanced Training"/>
  </r>
  <r>
    <n v="5587"/>
    <s v="Candace Nelson"/>
    <x v="1"/>
    <n v="44"/>
    <x v="4"/>
    <x v="3"/>
    <x v="2"/>
    <x v="3"/>
    <s v="Teresa Pearson"/>
    <s v="2021-06-28"/>
    <n v="4"/>
    <n v="43"/>
    <x v="0"/>
    <x v="2"/>
    <n v="81235"/>
    <s v="A"/>
    <n v="6553"/>
    <s v="None"/>
    <n v="16"/>
    <n v="2"/>
    <s v="No"/>
    <s v="None"/>
    <x v="3"/>
    <s v="Certified Professional"/>
  </r>
  <r>
    <n v="5742"/>
    <s v="Nicole Gonzalez"/>
    <x v="1"/>
    <n v="27"/>
    <x v="1"/>
    <x v="4"/>
    <x v="4"/>
    <x v="2"/>
    <s v="Robin Lynch"/>
    <s v="2016-08-25"/>
    <n v="9"/>
    <n v="101"/>
    <x v="0"/>
    <x v="1"/>
    <n v="33183"/>
    <s v="A"/>
    <n v="1659"/>
    <s v="None"/>
    <n v="11"/>
    <n v="1"/>
    <s v="No"/>
    <s v="Leadership Training"/>
    <x v="2"/>
    <s v="None"/>
  </r>
  <r>
    <n v="5760"/>
    <s v="Rhonda Pena"/>
    <x v="1"/>
    <n v="59"/>
    <x v="2"/>
    <x v="2"/>
    <x v="3"/>
    <x v="0"/>
    <s v="Mark Abbott"/>
    <s v="2019-12-23"/>
    <n v="6"/>
    <n v="61"/>
    <x v="0"/>
    <x v="1"/>
    <n v="34927"/>
    <s v="D"/>
    <n v="6996"/>
    <s v="Health + Dental"/>
    <n v="16"/>
    <n v="1"/>
    <s v="No"/>
    <s v="Excel Workshop"/>
    <x v="4"/>
    <s v="Certified Professional"/>
  </r>
  <r>
    <n v="5763"/>
    <s v="George Hurley"/>
    <x v="0"/>
    <n v="44"/>
    <x v="4"/>
    <x v="0"/>
    <x v="1"/>
    <x v="1"/>
    <s v="Debra Williams"/>
    <s v="2020-11-28"/>
    <n v="5"/>
    <n v="50"/>
    <x v="2"/>
    <x v="1"/>
    <n v="98961"/>
    <s v="D"/>
    <n v="2688"/>
    <s v="Health"/>
    <n v="2"/>
    <n v="5"/>
    <s v="Yes"/>
    <s v="Excel Workshop"/>
    <x v="0"/>
    <s v="Certified Professional"/>
  </r>
  <r>
    <n v="5827"/>
    <s v="Daniel Hawkins"/>
    <x v="0"/>
    <n v="57"/>
    <x v="2"/>
    <x v="2"/>
    <x v="1"/>
    <x v="1"/>
    <s v="Andrew Best"/>
    <s v="2017-12-12"/>
    <n v="8"/>
    <n v="86"/>
    <x v="2"/>
    <x v="0"/>
    <n v="96429"/>
    <s v="C"/>
    <n v="4740"/>
    <s v="None"/>
    <n v="8"/>
    <n v="1"/>
    <s v="No"/>
    <s v="Excel Workshop"/>
    <x v="2"/>
    <s v="None"/>
  </r>
  <r>
    <n v="5874"/>
    <s v="Kimberly Jones"/>
    <x v="1"/>
    <n v="35"/>
    <x v="1"/>
    <x v="1"/>
    <x v="2"/>
    <x v="0"/>
    <s v="Allison Harvey"/>
    <s v="2019-03-04"/>
    <n v="6"/>
    <n v="71"/>
    <x v="2"/>
    <x v="2"/>
    <n v="75065"/>
    <s v="C"/>
    <n v="7123"/>
    <s v="None"/>
    <n v="20"/>
    <n v="2"/>
    <s v="No"/>
    <s v="None"/>
    <x v="4"/>
    <s v="Advanced Training"/>
  </r>
  <r>
    <n v="5979"/>
    <s v="Donna Jones"/>
    <x v="1"/>
    <n v="31"/>
    <x v="1"/>
    <x v="4"/>
    <x v="0"/>
    <x v="3"/>
    <s v="Mario Smith DVM"/>
    <s v="2015-03-14"/>
    <n v="10"/>
    <n v="119"/>
    <x v="1"/>
    <x v="1"/>
    <n v="67582"/>
    <s v="A"/>
    <n v="1375"/>
    <s v="Health"/>
    <n v="20"/>
    <n v="3"/>
    <s v="No"/>
    <s v="Excel Workshop"/>
    <x v="3"/>
    <s v="None"/>
  </r>
  <r>
    <n v="6213"/>
    <s v="Matthew Powell"/>
    <x v="0"/>
    <n v="23"/>
    <x v="0"/>
    <x v="3"/>
    <x v="0"/>
    <x v="3"/>
    <s v="Andrea May"/>
    <s v="2017-02-13"/>
    <n v="8"/>
    <n v="96"/>
    <x v="1"/>
    <x v="1"/>
    <n v="59359"/>
    <s v="A"/>
    <n v="9449"/>
    <s v="Health + Dental"/>
    <n v="20"/>
    <n v="3"/>
    <s v="No"/>
    <s v="None"/>
    <x v="3"/>
    <s v="None"/>
  </r>
  <r>
    <n v="6357"/>
    <s v="Vickie Lewis"/>
    <x v="1"/>
    <n v="46"/>
    <x v="3"/>
    <x v="2"/>
    <x v="3"/>
    <x v="4"/>
    <s v="Jacob Scott"/>
    <s v="2022-11-14"/>
    <n v="3"/>
    <n v="27"/>
    <x v="1"/>
    <x v="0"/>
    <n v="49058"/>
    <s v="B"/>
    <n v="4396"/>
    <s v="None"/>
    <n v="5"/>
    <n v="1"/>
    <s v="No"/>
    <s v="None"/>
    <x v="1"/>
    <s v="None"/>
  </r>
  <r>
    <n v="6505"/>
    <s v="Nicole Williamson"/>
    <x v="1"/>
    <n v="28"/>
    <x v="1"/>
    <x v="4"/>
    <x v="3"/>
    <x v="4"/>
    <s v="Jessica Fleming"/>
    <s v="2015-08-14"/>
    <n v="10"/>
    <n v="114"/>
    <x v="0"/>
    <x v="1"/>
    <n v="73002"/>
    <s v="C"/>
    <n v="6296"/>
    <s v="Health"/>
    <n v="2"/>
    <n v="5"/>
    <s v="Yes"/>
    <s v="Excel Workshop"/>
    <x v="3"/>
    <s v="Certified Professional"/>
  </r>
  <r>
    <n v="6838"/>
    <s v="Mark Lopez"/>
    <x v="0"/>
    <n v="45"/>
    <x v="4"/>
    <x v="2"/>
    <x v="0"/>
    <x v="3"/>
    <s v="Karen Mitchell"/>
    <s v="2015-08-30"/>
    <n v="10"/>
    <n v="113"/>
    <x v="2"/>
    <x v="1"/>
    <n v="81943"/>
    <s v="C"/>
    <n v="2255"/>
    <s v="Health"/>
    <n v="18"/>
    <n v="2"/>
    <s v="No"/>
    <s v="None"/>
    <x v="2"/>
    <s v="Certified Professional"/>
  </r>
  <r>
    <n v="7951"/>
    <s v="Alexis Clark"/>
    <x v="1"/>
    <n v="36"/>
    <x v="4"/>
    <x v="3"/>
    <x v="2"/>
    <x v="4"/>
    <s v="Joel Park"/>
    <s v="2016-02-23"/>
    <n v="9"/>
    <n v="107"/>
    <x v="1"/>
    <x v="2"/>
    <n v="98612"/>
    <s v="A"/>
    <n v="1168"/>
    <s v="None"/>
    <n v="9"/>
    <n v="2"/>
    <s v="No"/>
    <s v="Excel Workshop"/>
    <x v="4"/>
    <s v="Certified Professional"/>
  </r>
  <r>
    <n v="8012"/>
    <s v="Mary Schmidt"/>
    <x v="1"/>
    <n v="52"/>
    <x v="3"/>
    <x v="4"/>
    <x v="0"/>
    <x v="4"/>
    <s v="Shelly George"/>
    <s v="2018-08-26"/>
    <n v="7"/>
    <n v="77"/>
    <x v="2"/>
    <x v="1"/>
    <n v="56162"/>
    <s v="D"/>
    <n v="6560"/>
    <s v="Health + Dental"/>
    <n v="9"/>
    <n v="4"/>
    <s v="Yes"/>
    <s v="Excel Workshop"/>
    <x v="1"/>
    <s v="None"/>
  </r>
  <r>
    <n v="8029"/>
    <s v="Veronica Nelson"/>
    <x v="1"/>
    <n v="57"/>
    <x v="2"/>
    <x v="3"/>
    <x v="4"/>
    <x v="4"/>
    <s v="Kelly Mack"/>
    <s v="2017-05-28"/>
    <n v="8"/>
    <n v="92"/>
    <x v="2"/>
    <x v="1"/>
    <n v="34109"/>
    <s v="B"/>
    <n v="9232"/>
    <s v="Health"/>
    <n v="13"/>
    <n v="3"/>
    <s v="No"/>
    <s v="Leadership Training"/>
    <x v="4"/>
    <s v="Certified Professional"/>
  </r>
  <r>
    <n v="8071"/>
    <s v="Kimberly Jones"/>
    <x v="1"/>
    <n v="41"/>
    <x v="4"/>
    <x v="2"/>
    <x v="0"/>
    <x v="2"/>
    <s v="Janet Harris"/>
    <s v="2024-09-03"/>
    <n v="1"/>
    <n v="5"/>
    <x v="1"/>
    <x v="2"/>
    <n v="62993"/>
    <s v="A"/>
    <n v="2695"/>
    <s v="Health + Dental"/>
    <n v="0"/>
    <n v="2"/>
    <s v="No"/>
    <s v="None"/>
    <x v="2"/>
    <s v="None"/>
  </r>
  <r>
    <n v="8256"/>
    <s v="Richard Landry"/>
    <x v="0"/>
    <n v="46"/>
    <x v="3"/>
    <x v="3"/>
    <x v="0"/>
    <x v="2"/>
    <s v="Steven Krueger"/>
    <s v="2017-06-22"/>
    <n v="8"/>
    <n v="91"/>
    <x v="0"/>
    <x v="1"/>
    <n v="52020"/>
    <s v="B"/>
    <n v="9585"/>
    <s v="Health + Dental"/>
    <n v="0"/>
    <n v="4"/>
    <s v="Yes"/>
    <s v="Excel Workshop"/>
    <x v="0"/>
    <s v="None"/>
  </r>
  <r>
    <n v="8445"/>
    <s v="Samantha Foster"/>
    <x v="1"/>
    <n v="24"/>
    <x v="0"/>
    <x v="1"/>
    <x v="0"/>
    <x v="2"/>
    <s v="Joel Aguilar"/>
    <s v="2016-12-21"/>
    <n v="9"/>
    <n v="97"/>
    <x v="0"/>
    <x v="0"/>
    <n v="30137"/>
    <s v="B"/>
    <n v="4031"/>
    <s v="None"/>
    <n v="5"/>
    <n v="3"/>
    <s v="No"/>
    <s v="None"/>
    <x v="3"/>
    <s v="Certified Professional"/>
  </r>
  <r>
    <n v="8626"/>
    <s v="Matthew Knight"/>
    <x v="0"/>
    <n v="37"/>
    <x v="4"/>
    <x v="3"/>
    <x v="3"/>
    <x v="2"/>
    <s v="Christine Lee"/>
    <s v="2015-10-21"/>
    <n v="10"/>
    <n v="111"/>
    <x v="2"/>
    <x v="0"/>
    <n v="41653"/>
    <s v="D"/>
    <n v="9236"/>
    <s v="None"/>
    <n v="13"/>
    <n v="1"/>
    <s v="No"/>
    <s v="Excel Workshop"/>
    <x v="4"/>
    <s v="None"/>
  </r>
  <r>
    <n v="8847"/>
    <s v="Chris Sanchez"/>
    <x v="0"/>
    <n v="41"/>
    <x v="4"/>
    <x v="3"/>
    <x v="2"/>
    <x v="0"/>
    <s v="John Conley"/>
    <s v="2022-01-30"/>
    <n v="3"/>
    <n v="36"/>
    <x v="2"/>
    <x v="0"/>
    <n v="73330"/>
    <s v="C"/>
    <n v="2276"/>
    <s v="Health + Dental"/>
    <n v="5"/>
    <n v="1"/>
    <s v="No"/>
    <s v="None"/>
    <x v="3"/>
    <s v="Advanced Training"/>
  </r>
  <r>
    <n v="8967"/>
    <s v="Wendy Gomez"/>
    <x v="1"/>
    <n v="48"/>
    <x v="3"/>
    <x v="1"/>
    <x v="1"/>
    <x v="0"/>
    <s v="Sarah Young"/>
    <s v="2017-03-19"/>
    <n v="8"/>
    <n v="94"/>
    <x v="0"/>
    <x v="1"/>
    <n v="36721"/>
    <s v="B"/>
    <n v="8820"/>
    <s v="Health + Dental"/>
    <n v="0"/>
    <n v="2"/>
    <s v="No"/>
    <s v="Excel Workshop"/>
    <x v="3"/>
    <s v="Certified Professional"/>
  </r>
  <r>
    <n v="8988"/>
    <s v="Daniel Brown MD"/>
    <x v="0"/>
    <n v="25"/>
    <x v="0"/>
    <x v="4"/>
    <x v="0"/>
    <x v="3"/>
    <s v="James Holden"/>
    <s v="2024-03-09"/>
    <n v="1"/>
    <n v="11"/>
    <x v="2"/>
    <x v="1"/>
    <n v="92919"/>
    <s v="D"/>
    <n v="9497"/>
    <s v="Health"/>
    <n v="7"/>
    <n v="2"/>
    <s v="No"/>
    <s v="None"/>
    <x v="1"/>
    <s v="Advanced Training"/>
  </r>
  <r>
    <n v="9105"/>
    <s v="Bruce Nelson"/>
    <x v="0"/>
    <n v="30"/>
    <x v="1"/>
    <x v="4"/>
    <x v="3"/>
    <x v="0"/>
    <s v="Casey Martin"/>
    <s v="2024-05-05"/>
    <n v="1"/>
    <n v="9"/>
    <x v="1"/>
    <x v="0"/>
    <n v="81225"/>
    <s v="D"/>
    <n v="6202"/>
    <s v="Health + Dental"/>
    <n v="2"/>
    <n v="2"/>
    <s v="No"/>
    <s v="Excel Workshop"/>
    <x v="0"/>
    <s v="Certified Professional"/>
  </r>
  <r>
    <n v="9116"/>
    <s v="Gary Garcia"/>
    <x v="0"/>
    <n v="27"/>
    <x v="1"/>
    <x v="0"/>
    <x v="1"/>
    <x v="1"/>
    <s v="Ashley Simmons MD"/>
    <s v="2022-12-20"/>
    <n v="3"/>
    <n v="25"/>
    <x v="0"/>
    <x v="1"/>
    <n v="91091"/>
    <s v="B"/>
    <n v="1024"/>
    <s v="None"/>
    <n v="19"/>
    <n v="4"/>
    <s v="Yes"/>
    <s v="Excel Workshop"/>
    <x v="4"/>
    <s v="Certified Professional"/>
  </r>
  <r>
    <n v="9228"/>
    <s v="Robert Davis"/>
    <x v="0"/>
    <n v="41"/>
    <x v="4"/>
    <x v="1"/>
    <x v="1"/>
    <x v="1"/>
    <s v="Russell Marshall"/>
    <s v="2018-05-18"/>
    <n v="7"/>
    <n v="80"/>
    <x v="2"/>
    <x v="1"/>
    <n v="38201"/>
    <s v="A"/>
    <n v="7111"/>
    <s v="Health"/>
    <n v="8"/>
    <n v="4"/>
    <s v="Yes"/>
    <s v="Leadership Training"/>
    <x v="1"/>
    <s v="None"/>
  </r>
  <r>
    <n v="9351"/>
    <s v="Anthony Gates"/>
    <x v="0"/>
    <n v="56"/>
    <x v="2"/>
    <x v="4"/>
    <x v="0"/>
    <x v="3"/>
    <s v="Mr. Frank Clay"/>
    <s v="2019-03-14"/>
    <n v="6"/>
    <n v="71"/>
    <x v="1"/>
    <x v="1"/>
    <n v="45773"/>
    <s v="A"/>
    <n v="8776"/>
    <s v="Health"/>
    <n v="16"/>
    <n v="4"/>
    <s v="Yes"/>
    <s v="Leadership Training"/>
    <x v="2"/>
    <s v="None"/>
  </r>
  <r>
    <n v="9374"/>
    <s v="Mary Martinez"/>
    <x v="1"/>
    <n v="42"/>
    <x v="4"/>
    <x v="0"/>
    <x v="0"/>
    <x v="3"/>
    <s v="Nicole Houston"/>
    <s v="2023-07-24"/>
    <n v="2"/>
    <n v="18"/>
    <x v="1"/>
    <x v="0"/>
    <n v="95734"/>
    <s v="C"/>
    <n v="4854"/>
    <s v="Health"/>
    <n v="13"/>
    <n v="2"/>
    <s v="No"/>
    <s v="Leadership Training"/>
    <x v="4"/>
    <s v="Certified Professional"/>
  </r>
  <r>
    <n v="9508"/>
    <s v="Dawn Cole"/>
    <x v="1"/>
    <n v="49"/>
    <x v="3"/>
    <x v="0"/>
    <x v="0"/>
    <x v="0"/>
    <s v="Amber Allen"/>
    <s v="2022-04-19"/>
    <n v="3"/>
    <n v="33"/>
    <x v="1"/>
    <x v="2"/>
    <n v="32788"/>
    <s v="D"/>
    <n v="4396"/>
    <s v="Health"/>
    <n v="13"/>
    <n v="5"/>
    <s v="Yes"/>
    <s v="None"/>
    <x v="1"/>
    <s v="Advanced Training"/>
  </r>
  <r>
    <n v="9544"/>
    <s v="Robert Williams"/>
    <x v="0"/>
    <n v="52"/>
    <x v="3"/>
    <x v="1"/>
    <x v="1"/>
    <x v="1"/>
    <s v="Joseph Sanders"/>
    <s v="2018-10-27"/>
    <n v="7"/>
    <n v="75"/>
    <x v="2"/>
    <x v="1"/>
    <n v="47627"/>
    <s v="C"/>
    <n v="1221"/>
    <s v="None"/>
    <n v="4"/>
    <n v="3"/>
    <s v="No"/>
    <s v="None"/>
    <x v="3"/>
    <s v="None"/>
  </r>
  <r>
    <n v="9554"/>
    <s v="Mandy Davis"/>
    <x v="1"/>
    <n v="29"/>
    <x v="1"/>
    <x v="0"/>
    <x v="1"/>
    <x v="2"/>
    <s v="Laura Hart"/>
    <s v="2018-05-20"/>
    <n v="7"/>
    <n v="80"/>
    <x v="0"/>
    <x v="1"/>
    <n v="87852"/>
    <s v="A"/>
    <n v="4980"/>
    <s v="Health + Dental"/>
    <n v="19"/>
    <n v="3"/>
    <s v="No"/>
    <s v="None"/>
    <x v="2"/>
    <s v="Certified Professional"/>
  </r>
  <r>
    <n v="9834"/>
    <s v="Thomas Kramer"/>
    <x v="0"/>
    <n v="41"/>
    <x v="4"/>
    <x v="0"/>
    <x v="3"/>
    <x v="4"/>
    <s v="Tristan Mejia"/>
    <s v="2022-11-20"/>
    <n v="3"/>
    <n v="26"/>
    <x v="0"/>
    <x v="0"/>
    <n v="32877"/>
    <s v="C"/>
    <n v="6432"/>
    <s v="Health"/>
    <n v="11"/>
    <n v="1"/>
    <s v="No"/>
    <s v="None"/>
    <x v="4"/>
    <s v="None"/>
  </r>
  <r>
    <n v="9968"/>
    <s v="Charles Andrews"/>
    <x v="0"/>
    <n v="58"/>
    <x v="2"/>
    <x v="0"/>
    <x v="2"/>
    <x v="0"/>
    <s v="Jessica Walsh"/>
    <s v="2021-08-27"/>
    <n v="4"/>
    <n v="41"/>
    <x v="1"/>
    <x v="2"/>
    <n v="80325"/>
    <s v="B"/>
    <n v="6230"/>
    <s v="Health"/>
    <n v="5"/>
    <n v="4"/>
    <s v="Yes"/>
    <s v="None"/>
    <x v="2"/>
    <s v="Advanced Training"/>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5C722F9-3471-444A-BBB7-66F7959CFAE5}" name="Skillse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R4:S10" firstHeaderRow="1" firstDataRow="1" firstDataCol="1"/>
  <pivotFields count="24">
    <pivotField showAll="0"/>
    <pivotField dataField="1" showAll="0"/>
    <pivotField showAll="0">
      <items count="3">
        <item x="1"/>
        <item x="0"/>
        <item t="default"/>
      </items>
    </pivotField>
    <pivotField showAll="0"/>
    <pivotField showAll="0"/>
    <pivotField showAll="0"/>
    <pivotField showAll="0"/>
    <pivotField showAll="0">
      <items count="6">
        <item x="0"/>
        <item x="1"/>
        <item x="4"/>
        <item x="3"/>
        <item x="2"/>
        <item t="default"/>
      </items>
    </pivotField>
    <pivotField showAll="0"/>
    <pivotField showAll="0"/>
    <pivotField showAll="0"/>
    <pivotField showAll="0"/>
    <pivotField showAll="0"/>
    <pivotField showAll="0"/>
    <pivotField numFmtId="164" showAll="0"/>
    <pivotField showAll="0"/>
    <pivotField showAll="0"/>
    <pivotField showAll="0"/>
    <pivotField showAll="0"/>
    <pivotField showAll="0"/>
    <pivotField showAll="0"/>
    <pivotField showAll="0"/>
    <pivotField axis="axisRow" showAll="0">
      <items count="6">
        <item x="1"/>
        <item x="4"/>
        <item x="0"/>
        <item x="3"/>
        <item x="2"/>
        <item t="default"/>
      </items>
    </pivotField>
    <pivotField showAll="0"/>
  </pivotFields>
  <rowFields count="1">
    <field x="22"/>
  </rowFields>
  <rowItems count="6">
    <i>
      <x/>
    </i>
    <i>
      <x v="1"/>
    </i>
    <i>
      <x v="2"/>
    </i>
    <i>
      <x v="3"/>
    </i>
    <i>
      <x v="4"/>
    </i>
    <i t="grand">
      <x/>
    </i>
  </rowItems>
  <colItems count="1">
    <i/>
  </colItems>
  <dataFields count="1">
    <dataField name="Count of Full 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82542C4-888B-4AF5-B3E6-EB758DC6972D}" name="SalaryAverag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D4:AD5" firstHeaderRow="1" firstDataRow="1" firstDataCol="0"/>
  <pivotFields count="24">
    <pivotField showAll="0"/>
    <pivotField showAll="0"/>
    <pivotField showAll="0">
      <items count="3">
        <item x="1"/>
        <item x="0"/>
        <item t="default"/>
      </items>
    </pivotField>
    <pivotField showAll="0"/>
    <pivotField showAll="0"/>
    <pivotField showAll="0"/>
    <pivotField showAll="0"/>
    <pivotField showAll="0">
      <items count="6">
        <item x="0"/>
        <item x="1"/>
        <item x="4"/>
        <item x="3"/>
        <item x="2"/>
        <item t="default"/>
      </items>
    </pivotField>
    <pivotField showAll="0"/>
    <pivotField showAll="0"/>
    <pivotField showAll="0"/>
    <pivotField showAll="0"/>
    <pivotField showAll="0"/>
    <pivotField showAll="0"/>
    <pivotField dataField="1" numFmtId="164"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Salary" fld="14" subtotal="average"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ED5FF44-F1D0-489B-BA4F-D408ACA3591A}" name="Leav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U4:V10" firstHeaderRow="1" firstDataRow="1" firstDataCol="1"/>
  <pivotFields count="24">
    <pivotField showAll="0"/>
    <pivotField showAll="0"/>
    <pivotField showAll="0">
      <items count="3">
        <item x="1"/>
        <item x="0"/>
        <item t="default"/>
      </items>
    </pivotField>
    <pivotField showAll="0"/>
    <pivotField showAll="0"/>
    <pivotField showAll="0"/>
    <pivotField axis="axisRow" showAll="0">
      <items count="6">
        <item x="4"/>
        <item x="3"/>
        <item x="2"/>
        <item x="1"/>
        <item x="0"/>
        <item t="default"/>
      </items>
    </pivotField>
    <pivotField showAll="0">
      <items count="6">
        <item x="0"/>
        <item x="1"/>
        <item x="4"/>
        <item x="3"/>
        <item x="2"/>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s>
  <rowFields count="1">
    <field x="6"/>
  </rowFields>
  <rowItems count="6">
    <i>
      <x/>
    </i>
    <i>
      <x v="1"/>
    </i>
    <i>
      <x v="2"/>
    </i>
    <i>
      <x v="3"/>
    </i>
    <i>
      <x v="4"/>
    </i>
    <i t="grand">
      <x/>
    </i>
  </rowItems>
  <colItems count="1">
    <i/>
  </colItems>
  <dataFields count="1">
    <dataField name="Sum of Leave Taken" fld="18" baseField="0" baseItem="0"/>
  </dataFields>
  <formats count="1">
    <format dxfId="0">
      <pivotArea collapsedLevelsAreSubtotals="1" fieldPosition="0">
        <references count="1">
          <reference field="6"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5031912-620C-4DDF-9954-250ABB184BA5}" name="AgeRang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H4:K11" firstHeaderRow="1" firstDataRow="2" firstDataCol="1"/>
  <pivotFields count="24">
    <pivotField showAll="0"/>
    <pivotField dataField="1" showAll="0"/>
    <pivotField axis="axisCol" showAll="0" sortType="descending">
      <items count="3">
        <item x="0"/>
        <item x="1"/>
        <item t="default"/>
      </items>
    </pivotField>
    <pivotField showAll="0"/>
    <pivotField axis="axisRow" showAll="0">
      <items count="8">
        <item x="0"/>
        <item x="1"/>
        <item x="4"/>
        <item x="3"/>
        <item m="1" x="6"/>
        <item m="1" x="5"/>
        <item x="2"/>
        <item t="default"/>
      </items>
    </pivotField>
    <pivotField showAll="0"/>
    <pivotField showAll="0"/>
    <pivotField showAll="0">
      <items count="6">
        <item x="0"/>
        <item x="1"/>
        <item x="4"/>
        <item x="3"/>
        <item x="2"/>
        <item t="default"/>
      </items>
    </pivotField>
    <pivotField showAll="0"/>
    <pivotField showAll="0"/>
    <pivotField showAll="0"/>
    <pivotField showAll="0"/>
    <pivotField showAll="0"/>
    <pivotField showAll="0"/>
    <pivotField numFmtId="164" showAll="0"/>
    <pivotField showAll="0"/>
    <pivotField showAll="0"/>
    <pivotField showAll="0"/>
    <pivotField showAll="0"/>
    <pivotField showAll="0"/>
    <pivotField showAll="0"/>
    <pivotField showAll="0"/>
    <pivotField showAll="0"/>
    <pivotField showAll="0"/>
  </pivotFields>
  <rowFields count="1">
    <field x="4"/>
  </rowFields>
  <rowItems count="6">
    <i>
      <x/>
    </i>
    <i>
      <x v="1"/>
    </i>
    <i>
      <x v="2"/>
    </i>
    <i>
      <x v="3"/>
    </i>
    <i>
      <x v="6"/>
    </i>
    <i t="grand">
      <x/>
    </i>
  </rowItems>
  <colFields count="1">
    <field x="2"/>
  </colFields>
  <colItems count="3">
    <i>
      <x/>
    </i>
    <i>
      <x v="1"/>
    </i>
    <i t="grand">
      <x/>
    </i>
  </colItems>
  <dataFields count="1">
    <dataField name="Count of Full Name" fld="1" subtotal="count" baseField="0" baseItem="0"/>
  </dataFields>
  <chartFormats count="2">
    <chartFormat chart="3" format="4" series="1">
      <pivotArea type="data" outline="0" fieldPosition="0">
        <references count="2">
          <reference field="4294967294" count="1" selected="0">
            <x v="0"/>
          </reference>
          <reference field="2" count="1" selected="0">
            <x v="1"/>
          </reference>
        </references>
      </pivotArea>
    </chartFormat>
    <chartFormat chart="3" format="5" series="1">
      <pivotArea type="data" outline="0" fieldPosition="0">
        <references count="2">
          <reference field="4294967294" count="1" selected="0">
            <x v="0"/>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50B5F97-C343-4744-86C5-24A50DDDE10B}" name="Rating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A4:AB10" firstHeaderRow="1" firstDataRow="1" firstDataCol="1"/>
  <pivotFields count="24">
    <pivotField showAll="0"/>
    <pivotField showAll="0"/>
    <pivotField showAll="0">
      <items count="3">
        <item x="1"/>
        <item x="0"/>
        <item t="default"/>
      </items>
    </pivotField>
    <pivotField showAll="0"/>
    <pivotField showAll="0"/>
    <pivotField showAll="0"/>
    <pivotField showAll="0"/>
    <pivotField axis="axisRow" showAll="0">
      <items count="6">
        <item x="0"/>
        <item x="1"/>
        <item x="4"/>
        <item x="3"/>
        <item x="2"/>
        <item t="default"/>
      </items>
    </pivotField>
    <pivotField showAll="0"/>
    <pivotField showAll="0"/>
    <pivotField showAll="0"/>
    <pivotField showAll="0"/>
    <pivotField showAll="0"/>
    <pivotField showAll="0"/>
    <pivotField numFmtId="164" showAll="0"/>
    <pivotField showAll="0"/>
    <pivotField showAll="0"/>
    <pivotField showAll="0"/>
    <pivotField showAll="0"/>
    <pivotField dataField="1" showAll="0"/>
    <pivotField showAll="0"/>
    <pivotField showAll="0"/>
    <pivotField showAll="0"/>
    <pivotField showAll="0"/>
  </pivotFields>
  <rowFields count="1">
    <field x="7"/>
  </rowFields>
  <rowItems count="6">
    <i>
      <x/>
    </i>
    <i>
      <x v="1"/>
    </i>
    <i>
      <x v="2"/>
    </i>
    <i>
      <x v="3"/>
    </i>
    <i>
      <x v="4"/>
    </i>
    <i t="grand">
      <x/>
    </i>
  </rowItems>
  <colItems count="1">
    <i/>
  </colItems>
  <dataFields count="1">
    <dataField name="Average of Performance Rating" fld="19" subtotal="average" baseField="7" baseItem="0" numFmtId="165"/>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1090CE9-477F-4C61-A79B-E4A4517E8CF9}" name="DepartmentSalari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H4:AI10" firstHeaderRow="1" firstDataRow="1" firstDataCol="1"/>
  <pivotFields count="24">
    <pivotField showAll="0"/>
    <pivotField showAll="0"/>
    <pivotField showAll="0">
      <items count="3">
        <item x="1"/>
        <item x="0"/>
        <item t="default"/>
      </items>
    </pivotField>
    <pivotField showAll="0"/>
    <pivotField showAll="0"/>
    <pivotField showAll="0"/>
    <pivotField showAll="0"/>
    <pivotField axis="axisRow" showAll="0" sortType="descending">
      <items count="6">
        <item x="0"/>
        <item x="1"/>
        <item x="4"/>
        <item x="3"/>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numFmtId="164" showAll="0"/>
    <pivotField showAll="0"/>
    <pivotField showAll="0"/>
    <pivotField showAll="0"/>
    <pivotField showAll="0"/>
    <pivotField showAll="0"/>
    <pivotField showAll="0"/>
    <pivotField showAll="0"/>
    <pivotField showAll="0"/>
    <pivotField showAll="0"/>
  </pivotFields>
  <rowFields count="1">
    <field x="7"/>
  </rowFields>
  <rowItems count="6">
    <i>
      <x v="3"/>
    </i>
    <i>
      <x/>
    </i>
    <i>
      <x v="1"/>
    </i>
    <i>
      <x v="2"/>
    </i>
    <i>
      <x v="4"/>
    </i>
    <i t="grand">
      <x/>
    </i>
  </rowItems>
  <colItems count="1">
    <i/>
  </colItems>
  <dataFields count="1">
    <dataField name="Sum of Salary" fld="14"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E990E1F-5767-4D14-AC62-2B7B76473FE0}" name="Reg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X4:Y10" firstHeaderRow="1" firstDataRow="1" firstDataCol="1"/>
  <pivotFields count="24">
    <pivotField showAll="0"/>
    <pivotField dataField="1" showAll="0"/>
    <pivotField showAll="0">
      <items count="3">
        <item x="1"/>
        <item x="0"/>
        <item t="default"/>
      </items>
    </pivotField>
    <pivotField showAll="0"/>
    <pivotField showAll="0"/>
    <pivotField axis="axisRow" showAll="0">
      <items count="6">
        <item x="0"/>
        <item x="4"/>
        <item x="1"/>
        <item x="3"/>
        <item x="2"/>
        <item t="default"/>
      </items>
    </pivotField>
    <pivotField showAll="0"/>
    <pivotField showAll="0">
      <items count="6">
        <item x="0"/>
        <item x="1"/>
        <item x="4"/>
        <item x="3"/>
        <item x="2"/>
        <item t="default"/>
      </items>
    </pivotField>
    <pivotField showAll="0"/>
    <pivotField showAll="0"/>
    <pivotField showAll="0"/>
    <pivotField showAll="0"/>
    <pivotField showAll="0"/>
    <pivotField showAll="0"/>
    <pivotField numFmtId="164" showAll="0"/>
    <pivotField showAll="0"/>
    <pivotField showAll="0"/>
    <pivotField showAll="0"/>
    <pivotField showAll="0"/>
    <pivotField showAll="0"/>
    <pivotField showAll="0"/>
    <pivotField showAll="0"/>
    <pivotField showAll="0"/>
    <pivotField showAll="0"/>
  </pivotFields>
  <rowFields count="1">
    <field x="5"/>
  </rowFields>
  <rowItems count="6">
    <i>
      <x/>
    </i>
    <i>
      <x v="1"/>
    </i>
    <i>
      <x v="2"/>
    </i>
    <i>
      <x v="3"/>
    </i>
    <i>
      <x v="4"/>
    </i>
    <i t="grand">
      <x/>
    </i>
  </rowItems>
  <colItems count="1">
    <i/>
  </colItems>
  <dataFields count="1">
    <dataField name="Count of Full Name" fld="1" subtotal="count" baseField="0" baseItem="0"/>
  </dataFields>
  <chartFormats count="2">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8000E6A-943F-4071-B305-C8AFDED2DA03}" name="OfficeLoca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4:N8" firstHeaderRow="1" firstDataRow="1" firstDataCol="1"/>
  <pivotFields count="24">
    <pivotField showAll="0"/>
    <pivotField dataField="1" showAll="0"/>
    <pivotField showAll="0">
      <items count="3">
        <item x="1"/>
        <item x="0"/>
        <item t="default"/>
      </items>
    </pivotField>
    <pivotField showAll="0"/>
    <pivotField showAll="0"/>
    <pivotField showAll="0"/>
    <pivotField showAll="0"/>
    <pivotField showAll="0">
      <items count="6">
        <item x="0"/>
        <item x="1"/>
        <item x="4"/>
        <item x="3"/>
        <item x="2"/>
        <item t="default"/>
      </items>
    </pivotField>
    <pivotField showAll="0"/>
    <pivotField showAll="0"/>
    <pivotField showAll="0"/>
    <pivotField showAll="0"/>
    <pivotField showAll="0"/>
    <pivotField axis="axisRow" showAll="0" sortType="descending">
      <items count="4">
        <item x="0"/>
        <item x="2"/>
        <item x="1"/>
        <item t="default"/>
      </items>
    </pivotField>
    <pivotField numFmtId="164" showAll="0"/>
    <pivotField showAll="0"/>
    <pivotField showAll="0"/>
    <pivotField showAll="0"/>
    <pivotField showAll="0"/>
    <pivotField showAll="0"/>
    <pivotField showAll="0"/>
    <pivotField showAll="0"/>
    <pivotField showAll="0"/>
    <pivotField showAll="0"/>
  </pivotFields>
  <rowFields count="1">
    <field x="13"/>
  </rowFields>
  <rowItems count="4">
    <i>
      <x/>
    </i>
    <i>
      <x v="1"/>
    </i>
    <i>
      <x v="2"/>
    </i>
    <i t="grand">
      <x/>
    </i>
  </rowItems>
  <colItems count="1">
    <i/>
  </colItems>
  <dataFields count="1">
    <dataField name="Count of Full 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316613F-259F-4811-8401-C9FF89F762CB}" name="TenureAverag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F4:AF5" firstHeaderRow="1" firstDataRow="1" firstDataCol="0"/>
  <pivotFields count="24">
    <pivotField showAll="0"/>
    <pivotField showAll="0"/>
    <pivotField showAll="0">
      <items count="3">
        <item x="1"/>
        <item x="0"/>
        <item t="default"/>
      </items>
    </pivotField>
    <pivotField showAll="0"/>
    <pivotField showAll="0"/>
    <pivotField showAll="0"/>
    <pivotField showAll="0"/>
    <pivotField showAll="0">
      <items count="6">
        <item x="0"/>
        <item x="1"/>
        <item x="4"/>
        <item x="3"/>
        <item x="2"/>
        <item t="default"/>
      </items>
    </pivotField>
    <pivotField showAll="0"/>
    <pivotField showAll="0"/>
    <pivotField dataField="1" showAll="0"/>
    <pivotField showAll="0"/>
    <pivotField showAll="0"/>
    <pivotField showAll="0"/>
    <pivotField numFmtId="164"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Years of Service" fld="10" subtotal="average" baseField="0" baseItem="0" numFmtId="165"/>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222F143-360F-49EB-AD7B-089658FB8DAC}" name="EmployementStatu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C8" firstHeaderRow="1" firstDataRow="1" firstDataCol="1"/>
  <pivotFields count="24">
    <pivotField showAll="0"/>
    <pivotField dataField="1" showAll="0"/>
    <pivotField showAll="0">
      <items count="3">
        <item x="1"/>
        <item x="0"/>
        <item t="default"/>
      </items>
    </pivotField>
    <pivotField showAll="0"/>
    <pivotField showAll="0"/>
    <pivotField showAll="0"/>
    <pivotField showAll="0"/>
    <pivotField showAll="0">
      <items count="6">
        <item x="0"/>
        <item x="1"/>
        <item x="4"/>
        <item x="3"/>
        <item x="2"/>
        <item t="default"/>
      </items>
    </pivotField>
    <pivotField showAll="0"/>
    <pivotField showAll="0"/>
    <pivotField showAll="0"/>
    <pivotField showAll="0"/>
    <pivotField axis="axisRow"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12"/>
  </rowFields>
  <rowItems count="4">
    <i>
      <x/>
    </i>
    <i>
      <x v="1"/>
    </i>
    <i>
      <x v="2"/>
    </i>
    <i t="grand">
      <x/>
    </i>
  </rowItems>
  <colItems count="1">
    <i/>
  </colItems>
  <dataFields count="1">
    <dataField name="Count of Full 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FFB1CCC-AC06-42DA-9682-10ED1F742971}" name="Salari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4:F10" firstHeaderRow="1" firstDataRow="1" firstDataCol="1"/>
  <pivotFields count="24">
    <pivotField showAll="0"/>
    <pivotField showAll="0"/>
    <pivotField showAll="0">
      <items count="3">
        <item x="1"/>
        <item x="0"/>
        <item t="default"/>
      </items>
    </pivotField>
    <pivotField showAll="0"/>
    <pivotField showAll="0"/>
    <pivotField showAll="0"/>
    <pivotField axis="axisRow" showAll="0">
      <items count="6">
        <item x="4"/>
        <item x="3"/>
        <item x="2"/>
        <item x="1"/>
        <item x="0"/>
        <item t="default"/>
      </items>
    </pivotField>
    <pivotField showAll="0">
      <items count="6">
        <item x="0"/>
        <item x="1"/>
        <item x="4"/>
        <item x="3"/>
        <item x="2"/>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s>
  <rowFields count="1">
    <field x="6"/>
  </rowFields>
  <rowItems count="6">
    <i>
      <x/>
    </i>
    <i>
      <x v="1"/>
    </i>
    <i>
      <x v="2"/>
    </i>
    <i>
      <x v="3"/>
    </i>
    <i>
      <x v="4"/>
    </i>
    <i t="grand">
      <x/>
    </i>
  </rowItems>
  <colItems count="1">
    <i/>
  </colItems>
  <dataFields count="1">
    <dataField name="Sum of Salary" fld="14" baseField="0" baseItem="0"/>
  </dataFields>
  <formats count="1">
    <format dxfId="3">
      <pivotArea collapsedLevelsAreSubtotals="1" fieldPosition="0">
        <references count="1">
          <reference field="6"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C42FD902-F537-44E7-95A3-197048214A17}" sourceName="Gender">
  <pivotTables>
    <pivotTable tabId="3" name="EmployementStatus"/>
    <pivotTable tabId="3" name="AgeRange"/>
    <pivotTable tabId="3" name="Leaves"/>
    <pivotTable tabId="3" name="OfficeLocation"/>
    <pivotTable tabId="3" name="Ratings"/>
    <pivotTable tabId="3" name="Region"/>
    <pivotTable tabId="3" name="Salaries"/>
    <pivotTable tabId="3" name="Skillset"/>
    <pivotTable tabId="3" name="SalaryAverage"/>
    <pivotTable tabId="3" name="DepartmentSalaries"/>
    <pivotTable tabId="3" name="TenureAverage"/>
  </pivotTables>
  <data>
    <tabular pivotCacheId="1806349656" sortOrder="descending">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D0963A5D-1D94-41CF-8365-988BF3F41B41}" sourceName="Department">
  <pivotTables>
    <pivotTable tabId="3" name="EmployementStatus"/>
    <pivotTable tabId="3" name="AgeRange"/>
    <pivotTable tabId="3" name="Leaves"/>
    <pivotTable tabId="3" name="OfficeLocation"/>
    <pivotTable tabId="3" name="Ratings"/>
    <pivotTable tabId="3" name="Region"/>
    <pivotTable tabId="3" name="Salaries"/>
    <pivotTable tabId="3" name="Skillset"/>
    <pivotTable tabId="3" name="SalaryAverage"/>
    <pivotTable tabId="3" name="DepartmentSalaries"/>
    <pivotTable tabId="3" name="TenureAverage"/>
  </pivotTables>
  <data>
    <tabular pivotCacheId="1806349656">
      <items count="5">
        <i x="0" s="1"/>
        <i x="1" s="1"/>
        <i x="4"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DFA0C37E-E6F3-4D35-B0F9-0AB3A95D010E}" cache="Slicer_Gender" caption="Filter by Gender" columnCount="2" style="SlicerStyleOther1" rowHeight="241300"/>
  <slicer name="Department" xr10:uid="{07B1877E-ACF4-4877-B6EE-4EEAEFBCFB0D}" cache="Slicer_Department" caption="Filter by Department" columnCount="5" style="SlicerStyleOther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6266CBD-64A1-4661-9253-3EC65C03BCF8}" name="RawData" displayName="RawData" ref="A1:X51" totalsRowShown="0">
  <autoFilter ref="A1:X51" xr:uid="{00000000-0001-0000-0000-000000000000}"/>
  <tableColumns count="24">
    <tableColumn id="1" xr3:uid="{36210921-1AFE-483E-9510-69EB9EAA62C5}" name="Employee ID"/>
    <tableColumn id="2" xr3:uid="{33253874-8105-400C-957A-EF60D2C6D2F6}" name="Full Name"/>
    <tableColumn id="3" xr3:uid="{CD09F844-5B9D-46E6-9238-17B258AB1954}" name="Gender"/>
    <tableColumn id="4" xr3:uid="{F88B783A-7906-4992-AA50-4E65A9FCE8AF}" name="Age"/>
    <tableColumn id="5" xr3:uid="{5745AB1C-2E16-40C4-8CA4-8A36940E3840}" name="Age range"/>
    <tableColumn id="6" xr3:uid="{A86B640D-4346-4CFC-9841-80841DFE3573}" name="Region"/>
    <tableColumn id="7" xr3:uid="{37B17FFD-7A84-4D86-AA96-301314DA8C33}" name="Job Title"/>
    <tableColumn id="8" xr3:uid="{5C6D3B14-D010-4EE4-931A-46A837909243}" name="Department"/>
    <tableColumn id="9" xr3:uid="{6EF59838-BC34-4B53-AB74-D094D62AEB1E}" name="Manager/Supervisor"/>
    <tableColumn id="10" xr3:uid="{76DC5FA1-CE86-4091-9A76-EFE0B324AC14}" name="Date of Hire"/>
    <tableColumn id="22" xr3:uid="{389975BD-F409-42EF-AFEF-27382C2F02A6}" name="Years of Service" dataDxfId="7">
      <calculatedColumnFormula>YEAR(TODAY()) - YEAR(RawData[Date of Hire])</calculatedColumnFormula>
    </tableColumn>
    <tableColumn id="23" xr3:uid="{B1834075-E191-48B5-A2D7-F29A1A44CAD2}" name="Tenure in Months" dataDxfId="6">
      <calculatedColumnFormula>DATEDIF(RawData[Date of Hire], TODAY(), "M")</calculatedColumnFormula>
    </tableColumn>
    <tableColumn id="11" xr3:uid="{CC2F80B3-D746-43AC-A80B-04252D2F9A08}" name="Employment Status"/>
    <tableColumn id="12" xr3:uid="{84A07DAB-DCBD-4D7B-A1C6-FF0FC5871B9F}" name="Work Location"/>
    <tableColumn id="13" xr3:uid="{8D70324A-D610-4AFD-843F-FBD87C6D761B}" name="Salary" dataDxfId="5"/>
    <tableColumn id="14" xr3:uid="{B5B24131-FAF7-4AC9-B7A6-AA0F435C5457}" name="Pay Grade"/>
    <tableColumn id="15" xr3:uid="{C80066B1-9C3D-4A9D-AFAC-D96F3CB0726C}" name="Bonus/Allowances"/>
    <tableColumn id="16" xr3:uid="{F7C21380-FEF2-4059-978C-A63520D3FCCE}" name="Insurance Details"/>
    <tableColumn id="17" xr3:uid="{B724DDD4-7468-4E5B-9078-1745E5A4076F}" name="Leave Taken"/>
    <tableColumn id="18" xr3:uid="{A4314491-5ED0-46B3-9245-D4B9A24E6A70}" name="Performance Rating"/>
    <tableColumn id="24" xr3:uid="{0188B6A4-B226-4BF2-BEFF-77465F148152}" name="Performance Bonus Eligibility" dataDxfId="4">
      <calculatedColumnFormula>IF(RawData[Performance Rating] &gt;= 4, "Yes", "No")</calculatedColumnFormula>
    </tableColumn>
    <tableColumn id="19" xr3:uid="{21531E08-DDA6-48EF-BDF0-00BF4B6C4A58}" name="Training Programs Attended"/>
    <tableColumn id="20" xr3:uid="{1F8C25E6-3BB7-4854-9239-D7BB6ACABBDF}" name="Skills"/>
    <tableColumn id="21" xr3:uid="{F7458F63-14B3-4A22-85F4-E6E5AFF931F9}" name="Certifications"/>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CD448-0103-4901-959F-1D7A674E32AF}">
  <dimension ref="A1"/>
  <sheetViews>
    <sheetView showGridLines="0" tabSelected="1" zoomScaleNormal="100" workbookViewId="0">
      <selection activeCell="T6" sqref="T6"/>
    </sheetView>
  </sheetViews>
  <sheetFormatPr defaultRowHeight="15" x14ac:dyDescent="0.25"/>
  <cols>
    <col min="1" max="16384" width="9.140625" style="9"/>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186DBC-9024-44D1-8BD5-724521D7DCDB}">
  <dimension ref="B2:AI24"/>
  <sheetViews>
    <sheetView workbookViewId="0"/>
  </sheetViews>
  <sheetFormatPr defaultRowHeight="15" x14ac:dyDescent="0.25"/>
  <cols>
    <col min="1" max="1" width="2.85546875" customWidth="1"/>
    <col min="2" max="2" width="13.140625" bestFit="1" customWidth="1"/>
    <col min="3" max="3" width="18.28515625" bestFit="1" customWidth="1"/>
    <col min="4" max="4" width="2.28515625" customWidth="1"/>
    <col min="5" max="5" width="13.140625" bestFit="1" customWidth="1"/>
    <col min="6" max="6" width="12.85546875" bestFit="1" customWidth="1"/>
    <col min="7" max="7" width="2.42578125" customWidth="1"/>
    <col min="8" max="8" width="18.28515625" bestFit="1" customWidth="1"/>
    <col min="9" max="9" width="16.28515625" bestFit="1" customWidth="1"/>
    <col min="10" max="10" width="7.5703125" bestFit="1" customWidth="1"/>
    <col min="11" max="11" width="11.28515625" bestFit="1" customWidth="1"/>
    <col min="12" max="12" width="2.5703125" customWidth="1"/>
    <col min="13" max="13" width="13.140625" bestFit="1" customWidth="1"/>
    <col min="14" max="14" width="18.28515625" bestFit="1" customWidth="1"/>
    <col min="15" max="15" width="5.5703125" bestFit="1" customWidth="1"/>
    <col min="16" max="16" width="4.5703125" bestFit="1" customWidth="1"/>
    <col min="17" max="17" width="3" customWidth="1"/>
    <col min="18" max="18" width="15.140625" bestFit="1" customWidth="1"/>
    <col min="19" max="19" width="18.28515625" bestFit="1" customWidth="1"/>
    <col min="20" max="20" width="2.85546875" customWidth="1"/>
    <col min="21" max="21" width="13.140625" bestFit="1" customWidth="1"/>
    <col min="22" max="22" width="18.7109375" bestFit="1" customWidth="1"/>
    <col min="23" max="23" width="2.42578125" customWidth="1"/>
    <col min="24" max="24" width="13.140625" bestFit="1" customWidth="1"/>
    <col min="25" max="25" width="18.28515625" bestFit="1" customWidth="1"/>
    <col min="26" max="26" width="2.28515625" customWidth="1"/>
    <col min="27" max="27" width="13.140625" bestFit="1" customWidth="1"/>
    <col min="28" max="28" width="29" bestFit="1" customWidth="1"/>
    <col min="29" max="29" width="2.85546875" customWidth="1"/>
    <col min="30" max="30" width="16.42578125" bestFit="1" customWidth="1"/>
    <col min="31" max="31" width="3" customWidth="1"/>
    <col min="32" max="32" width="25.5703125" bestFit="1" customWidth="1"/>
    <col min="33" max="33" width="2.85546875" customWidth="1"/>
    <col min="34" max="34" width="13.140625" bestFit="1" customWidth="1"/>
    <col min="35" max="35" width="12.85546875" bestFit="1" customWidth="1"/>
  </cols>
  <sheetData>
    <row r="2" spans="2:35" ht="15" customHeight="1" x14ac:dyDescent="0.25">
      <c r="B2" s="13" t="s">
        <v>216</v>
      </c>
      <c r="C2" s="13"/>
      <c r="E2" s="13" t="s">
        <v>235</v>
      </c>
      <c r="F2" s="13"/>
      <c r="H2" s="13" t="s">
        <v>220</v>
      </c>
      <c r="I2" s="13"/>
      <c r="J2" s="13"/>
      <c r="K2" s="13"/>
      <c r="M2" s="13" t="s">
        <v>221</v>
      </c>
      <c r="N2" s="13"/>
      <c r="R2" s="13" t="s">
        <v>211</v>
      </c>
      <c r="S2" s="13"/>
      <c r="U2" s="13" t="s">
        <v>224</v>
      </c>
      <c r="V2" s="13"/>
      <c r="X2" s="13" t="s">
        <v>197</v>
      </c>
      <c r="Y2" s="13"/>
      <c r="AA2" s="13" t="s">
        <v>230</v>
      </c>
      <c r="AB2" s="13"/>
      <c r="AD2" s="11" t="s">
        <v>228</v>
      </c>
      <c r="AF2" s="11" t="s">
        <v>233</v>
      </c>
      <c r="AH2" s="14" t="s">
        <v>236</v>
      </c>
      <c r="AI2" s="14"/>
    </row>
    <row r="4" spans="2:35" x14ac:dyDescent="0.25">
      <c r="B4" s="1" t="s">
        <v>213</v>
      </c>
      <c r="C4" t="s">
        <v>215</v>
      </c>
      <c r="E4" s="1" t="s">
        <v>213</v>
      </c>
      <c r="F4" t="s">
        <v>218</v>
      </c>
      <c r="H4" s="1" t="s">
        <v>215</v>
      </c>
      <c r="I4" s="1" t="s">
        <v>219</v>
      </c>
      <c r="M4" s="1" t="s">
        <v>213</v>
      </c>
      <c r="N4" t="s">
        <v>215</v>
      </c>
      <c r="R4" s="1" t="s">
        <v>213</v>
      </c>
      <c r="S4" t="s">
        <v>215</v>
      </c>
      <c r="U4" s="1" t="s">
        <v>213</v>
      </c>
      <c r="V4" t="s">
        <v>222</v>
      </c>
      <c r="X4" s="1" t="s">
        <v>213</v>
      </c>
      <c r="Y4" t="s">
        <v>215</v>
      </c>
      <c r="AA4" s="1" t="s">
        <v>213</v>
      </c>
      <c r="AB4" t="s">
        <v>223</v>
      </c>
      <c r="AD4" t="s">
        <v>229</v>
      </c>
      <c r="AF4" t="s">
        <v>234</v>
      </c>
      <c r="AH4" s="1" t="s">
        <v>213</v>
      </c>
      <c r="AI4" t="s">
        <v>218</v>
      </c>
    </row>
    <row r="5" spans="2:35" x14ac:dyDescent="0.25">
      <c r="B5" s="2" t="s">
        <v>42</v>
      </c>
      <c r="C5" s="15">
        <v>17</v>
      </c>
      <c r="E5" s="2" t="s">
        <v>99</v>
      </c>
      <c r="F5" s="3">
        <v>200224</v>
      </c>
      <c r="H5" s="1" t="s">
        <v>213</v>
      </c>
      <c r="I5" t="s">
        <v>16</v>
      </c>
      <c r="J5" t="s">
        <v>1</v>
      </c>
      <c r="K5" t="s">
        <v>214</v>
      </c>
      <c r="M5" s="2" t="s">
        <v>33</v>
      </c>
      <c r="N5" s="15">
        <v>19</v>
      </c>
      <c r="R5" s="2" t="s">
        <v>53</v>
      </c>
      <c r="S5" s="15">
        <v>12</v>
      </c>
      <c r="U5" s="2" t="s">
        <v>99</v>
      </c>
      <c r="V5" s="6">
        <v>39</v>
      </c>
      <c r="X5" s="2" t="s">
        <v>18</v>
      </c>
      <c r="Y5" s="15">
        <v>14</v>
      </c>
      <c r="AA5" s="2" t="s">
        <v>5</v>
      </c>
      <c r="AB5" s="7">
        <v>2.5833333333333335</v>
      </c>
      <c r="AD5" s="3">
        <v>62098.26</v>
      </c>
      <c r="AF5" s="7">
        <v>5.72</v>
      </c>
      <c r="AH5" s="2" t="s">
        <v>30</v>
      </c>
      <c r="AI5" s="3">
        <v>773111</v>
      </c>
    </row>
    <row r="6" spans="2:35" x14ac:dyDescent="0.25">
      <c r="B6" s="2" t="s">
        <v>8</v>
      </c>
      <c r="C6" s="15">
        <v>20</v>
      </c>
      <c r="E6" s="2" t="s">
        <v>19</v>
      </c>
      <c r="F6" s="3">
        <v>485400</v>
      </c>
      <c r="H6" s="2" t="s">
        <v>2</v>
      </c>
      <c r="I6" s="15">
        <v>3</v>
      </c>
      <c r="J6" s="15">
        <v>6</v>
      </c>
      <c r="K6" s="15">
        <v>9</v>
      </c>
      <c r="M6" s="2" t="s">
        <v>9</v>
      </c>
      <c r="N6" s="15">
        <v>8</v>
      </c>
      <c r="R6" s="2" t="s">
        <v>13</v>
      </c>
      <c r="S6" s="15">
        <v>11</v>
      </c>
      <c r="U6" s="2" t="s">
        <v>19</v>
      </c>
      <c r="V6" s="6">
        <v>73</v>
      </c>
      <c r="X6" s="2" t="s">
        <v>3</v>
      </c>
      <c r="Y6" s="15">
        <v>10</v>
      </c>
      <c r="AA6" s="2" t="s">
        <v>20</v>
      </c>
      <c r="AB6" s="7">
        <v>3.3</v>
      </c>
      <c r="AH6" s="2" t="s">
        <v>5</v>
      </c>
      <c r="AI6" s="3">
        <v>682757</v>
      </c>
    </row>
    <row r="7" spans="2:35" x14ac:dyDescent="0.25">
      <c r="B7" s="2" t="s">
        <v>89</v>
      </c>
      <c r="C7" s="15">
        <v>13</v>
      </c>
      <c r="E7" s="2" t="s">
        <v>50</v>
      </c>
      <c r="F7" s="3">
        <v>690178</v>
      </c>
      <c r="H7" s="2" t="s">
        <v>17</v>
      </c>
      <c r="I7" s="15">
        <v>6</v>
      </c>
      <c r="J7" s="15">
        <v>7</v>
      </c>
      <c r="K7" s="15">
        <v>13</v>
      </c>
      <c r="M7" s="2" t="s">
        <v>23</v>
      </c>
      <c r="N7" s="15">
        <v>23</v>
      </c>
      <c r="R7" s="2" t="s">
        <v>74</v>
      </c>
      <c r="S7" s="15">
        <v>7</v>
      </c>
      <c r="U7" s="2" t="s">
        <v>50</v>
      </c>
      <c r="V7" s="6">
        <v>94</v>
      </c>
      <c r="X7" s="2" t="s">
        <v>80</v>
      </c>
      <c r="Y7" s="15">
        <v>7</v>
      </c>
      <c r="AA7" s="2" t="s">
        <v>59</v>
      </c>
      <c r="AB7" s="7">
        <v>2.25</v>
      </c>
      <c r="AH7" s="2" t="s">
        <v>20</v>
      </c>
      <c r="AI7" s="3">
        <v>647960</v>
      </c>
    </row>
    <row r="8" spans="2:35" x14ac:dyDescent="0.25">
      <c r="B8" s="2" t="s">
        <v>214</v>
      </c>
      <c r="C8" s="15">
        <v>50</v>
      </c>
      <c r="E8" s="2" t="s">
        <v>29</v>
      </c>
      <c r="F8" s="3">
        <v>630987</v>
      </c>
      <c r="H8" s="2" t="s">
        <v>38</v>
      </c>
      <c r="I8" s="15">
        <v>7</v>
      </c>
      <c r="J8" s="15">
        <v>5</v>
      </c>
      <c r="K8" s="15">
        <v>12</v>
      </c>
      <c r="M8" s="2" t="s">
        <v>214</v>
      </c>
      <c r="N8" s="15">
        <v>50</v>
      </c>
      <c r="R8" s="2" t="s">
        <v>35</v>
      </c>
      <c r="S8" s="15">
        <v>11</v>
      </c>
      <c r="U8" s="2" t="s">
        <v>29</v>
      </c>
      <c r="V8" s="6">
        <v>86</v>
      </c>
      <c r="X8" s="2" t="s">
        <v>58</v>
      </c>
      <c r="Y8" s="15">
        <v>10</v>
      </c>
      <c r="AA8" s="2" t="s">
        <v>30</v>
      </c>
      <c r="AB8" s="7">
        <v>2.3636363636363638</v>
      </c>
      <c r="AH8" s="2" t="s">
        <v>59</v>
      </c>
      <c r="AI8" s="3">
        <v>501195</v>
      </c>
    </row>
    <row r="9" spans="2:35" x14ac:dyDescent="0.25">
      <c r="E9" s="2" t="s">
        <v>4</v>
      </c>
      <c r="F9" s="3">
        <v>1098124</v>
      </c>
      <c r="H9" s="2" t="s">
        <v>76</v>
      </c>
      <c r="I9" s="15">
        <v>3</v>
      </c>
      <c r="J9" s="15">
        <v>4</v>
      </c>
      <c r="K9" s="15">
        <v>7</v>
      </c>
      <c r="R9" s="2" t="s">
        <v>45</v>
      </c>
      <c r="S9" s="15">
        <v>9</v>
      </c>
      <c r="U9" s="2" t="s">
        <v>4</v>
      </c>
      <c r="V9" s="6">
        <v>195</v>
      </c>
      <c r="X9" s="2" t="s">
        <v>28</v>
      </c>
      <c r="Y9" s="15">
        <v>9</v>
      </c>
      <c r="AA9" s="2" t="s">
        <v>39</v>
      </c>
      <c r="AB9" s="7">
        <v>2.5555555555555554</v>
      </c>
      <c r="AH9" s="2" t="s">
        <v>39</v>
      </c>
      <c r="AI9" s="3">
        <v>499890</v>
      </c>
    </row>
    <row r="10" spans="2:35" x14ac:dyDescent="0.25">
      <c r="E10" s="2" t="s">
        <v>214</v>
      </c>
      <c r="F10" s="15">
        <v>3104913</v>
      </c>
      <c r="H10" s="2" t="s">
        <v>232</v>
      </c>
      <c r="I10" s="15">
        <v>5</v>
      </c>
      <c r="J10" s="15">
        <v>4</v>
      </c>
      <c r="K10" s="15">
        <v>9</v>
      </c>
      <c r="R10" s="2" t="s">
        <v>214</v>
      </c>
      <c r="S10" s="15">
        <v>50</v>
      </c>
      <c r="U10" s="2" t="s">
        <v>214</v>
      </c>
      <c r="V10" s="15">
        <v>487</v>
      </c>
      <c r="X10" s="2" t="s">
        <v>214</v>
      </c>
      <c r="Y10" s="15">
        <v>50</v>
      </c>
      <c r="AA10" s="2" t="s">
        <v>214</v>
      </c>
      <c r="AB10" s="7">
        <v>2.62</v>
      </c>
      <c r="AH10" s="2" t="s">
        <v>214</v>
      </c>
      <c r="AI10" s="3">
        <v>3104913</v>
      </c>
    </row>
    <row r="11" spans="2:35" x14ac:dyDescent="0.25">
      <c r="B11" t="s">
        <v>42</v>
      </c>
      <c r="C11">
        <f>IFERROR(GETPIVOTDATA("Full Name",$B$4,"Employment Status","Contract"),0)</f>
        <v>17</v>
      </c>
      <c r="H11" s="2" t="s">
        <v>214</v>
      </c>
      <c r="I11" s="15">
        <v>24</v>
      </c>
      <c r="J11" s="15">
        <v>26</v>
      </c>
      <c r="K11" s="15">
        <v>50</v>
      </c>
      <c r="M11" s="2" t="s">
        <v>33</v>
      </c>
      <c r="N11">
        <f>IFERROR(GETPIVOTDATA("Full Name",$M$4,"Work Location","Remote"),0)</f>
        <v>19</v>
      </c>
      <c r="O11" s="4">
        <f t="shared" ref="O11:O13" si="0">SUM(N11)/SUM($N$11:$N$13)</f>
        <v>0.38</v>
      </c>
      <c r="P11" s="5">
        <f>1-O11</f>
        <v>0.62</v>
      </c>
    </row>
    <row r="12" spans="2:35" x14ac:dyDescent="0.25">
      <c r="B12" t="s">
        <v>8</v>
      </c>
      <c r="C12">
        <f>IFERROR(GETPIVOTDATA("Full Name",$B$4,"Employment Status","Full-Time"),0)</f>
        <v>20</v>
      </c>
      <c r="M12" s="2" t="s">
        <v>9</v>
      </c>
      <c r="N12">
        <f>IFERROR(GETPIVOTDATA("Full Name",$M$4,"Work Location","Head Office"),0)</f>
        <v>8</v>
      </c>
      <c r="O12" s="4">
        <f t="shared" si="0"/>
        <v>0.16</v>
      </c>
      <c r="P12" s="5">
        <f t="shared" ref="P12:P13" si="1">1-O12</f>
        <v>0.84</v>
      </c>
    </row>
    <row r="13" spans="2:35" x14ac:dyDescent="0.25">
      <c r="B13" t="s">
        <v>89</v>
      </c>
      <c r="C13">
        <f>IFERROR(GETPIVOTDATA("Full Name",$B$4,"Employment Status","Part-Time"),0)</f>
        <v>13</v>
      </c>
      <c r="E13" t="s">
        <v>99</v>
      </c>
      <c r="F13" s="3">
        <f>IFERROR(GETPIVOTDATA("Salary",$E$4,"Job Title","Analyst"),0)</f>
        <v>200224</v>
      </c>
      <c r="M13" s="2" t="s">
        <v>23</v>
      </c>
      <c r="N13">
        <f>IFERROR(GETPIVOTDATA("Full Name",$M$4,"Work Location","Branch Office"),0)</f>
        <v>23</v>
      </c>
      <c r="O13" s="4">
        <f t="shared" si="0"/>
        <v>0.46</v>
      </c>
      <c r="P13" s="5">
        <f t="shared" si="1"/>
        <v>0.54</v>
      </c>
      <c r="R13" s="2" t="s">
        <v>53</v>
      </c>
      <c r="S13">
        <f>IFERROR(GETPIVOTDATA("Full Name",$R$4,"Skills","Communication"),0)</f>
        <v>12</v>
      </c>
      <c r="U13" t="s">
        <v>99</v>
      </c>
      <c r="V13">
        <f>IFERROR(GETPIVOTDATA("Leave Taken",$U$4,"Job Title","Analyst"),0)</f>
        <v>39</v>
      </c>
      <c r="X13" s="2" t="s">
        <v>18</v>
      </c>
      <c r="Y13">
        <f>IFERROR(GETPIVOTDATA("Full Name",$X$4,"Region","Central"),0)</f>
        <v>14</v>
      </c>
      <c r="AA13" s="2" t="s">
        <v>5</v>
      </c>
      <c r="AB13" s="7">
        <f>IFERROR(GETPIVOTDATA("Performance Rating",$AA$4,"Department","Finance"),0)</f>
        <v>2.5833333333333335</v>
      </c>
      <c r="AD13" t="s">
        <v>231</v>
      </c>
      <c r="AF13" t="s">
        <v>233</v>
      </c>
      <c r="AH13" s="2" t="s">
        <v>30</v>
      </c>
      <c r="AI13" s="10">
        <f>IFERROR(GETPIVOTDATA("Salary",$AH$4,"Department","Marketing"),0)</f>
        <v>773111</v>
      </c>
    </row>
    <row r="14" spans="2:35" x14ac:dyDescent="0.25">
      <c r="B14" t="s">
        <v>217</v>
      </c>
      <c r="C14">
        <f>SUM(C11:C13)</f>
        <v>50</v>
      </c>
      <c r="E14" t="s">
        <v>19</v>
      </c>
      <c r="F14" s="3">
        <f>IFERROR(GETPIVOTDATA("Salary",$E$4,"Job Title","Designer"),0)</f>
        <v>485400</v>
      </c>
      <c r="H14" t="s">
        <v>2</v>
      </c>
      <c r="I14">
        <f>IFERROR(GETPIVOTDATA("Full Name",$H$4,"Age range","18-25"),0)</f>
        <v>9</v>
      </c>
      <c r="M14" t="s">
        <v>217</v>
      </c>
      <c r="N14">
        <f>SUM(N11:N13)</f>
        <v>50</v>
      </c>
      <c r="R14" s="2" t="s">
        <v>13</v>
      </c>
      <c r="S14">
        <f>IFERROR(GETPIVOTDATA("Full Name",$R$4,"Skills","Design"),0)</f>
        <v>11</v>
      </c>
      <c r="U14" t="s">
        <v>19</v>
      </c>
      <c r="V14">
        <f>IFERROR(GETPIVOTDATA("Leave Taken",$U$4,"Job Title","Designer"),0)</f>
        <v>73</v>
      </c>
      <c r="X14" s="2" t="s">
        <v>3</v>
      </c>
      <c r="Y14">
        <f>IFERROR(GETPIVOTDATA("Full Name",$X$4,"Region","East"),0)</f>
        <v>10</v>
      </c>
      <c r="AA14" s="2" t="s">
        <v>20</v>
      </c>
      <c r="AB14" s="7">
        <f>IFERROR(GETPIVOTDATA("Performance Rating",$AA$4,"Department","HR"),0)</f>
        <v>3.3</v>
      </c>
      <c r="AD14" s="10">
        <f>IFERROR(GETPIVOTDATA("Salary",$AD$4),0)</f>
        <v>62098.26</v>
      </c>
      <c r="AF14" s="7">
        <f>IFERROR(GETPIVOTDATA("Years of Service",$AF$4),0)</f>
        <v>5.72</v>
      </c>
      <c r="AH14" s="2" t="s">
        <v>5</v>
      </c>
      <c r="AI14" s="10">
        <f>IFERROR(GETPIVOTDATA("Salary",$AH$4,"Department","Finance"),0)</f>
        <v>682757</v>
      </c>
    </row>
    <row r="15" spans="2:35" x14ac:dyDescent="0.25">
      <c r="E15" t="s">
        <v>50</v>
      </c>
      <c r="F15" s="3">
        <f>IFERROR(GETPIVOTDATA("Salary",$E$4,"Job Title","Developer"),0)</f>
        <v>690178</v>
      </c>
      <c r="H15" t="s">
        <v>17</v>
      </c>
      <c r="I15">
        <f>IFERROR(GETPIVOTDATA("Full Name",$H$4,"Age range","26-35"),0)</f>
        <v>13</v>
      </c>
      <c r="R15" s="2" t="s">
        <v>74</v>
      </c>
      <c r="S15">
        <f>IFERROR(GETPIVOTDATA("Full Name",$R$4,"Skills","Excel"),0)</f>
        <v>7</v>
      </c>
      <c r="U15" t="s">
        <v>50</v>
      </c>
      <c r="V15">
        <f>IFERROR(GETPIVOTDATA("Leave Taken",$U$4,"Job Title","Developer"),0)</f>
        <v>94</v>
      </c>
      <c r="X15" s="2" t="s">
        <v>80</v>
      </c>
      <c r="Y15">
        <f>IFERROR(GETPIVOTDATA("Full Name",$X$4,"Region","North"),0)</f>
        <v>7</v>
      </c>
      <c r="AA15" s="2" t="s">
        <v>59</v>
      </c>
      <c r="AB15" s="7">
        <f>IFERROR(GETPIVOTDATA("Performance Rating",$AA$4,"Department","IT"),0)</f>
        <v>2.25</v>
      </c>
      <c r="AH15" s="2" t="s">
        <v>20</v>
      </c>
      <c r="AI15" s="10">
        <f>IFERROR(GETPIVOTDATA("Salary",$AH$4,"Department","HR"),0)</f>
        <v>647960</v>
      </c>
    </row>
    <row r="16" spans="2:35" x14ac:dyDescent="0.25">
      <c r="E16" t="s">
        <v>29</v>
      </c>
      <c r="F16" s="3">
        <f>IFERROR(GETPIVOTDATA("Salary",$E$4,"Job Title","HR Specialist"),0)</f>
        <v>630987</v>
      </c>
      <c r="H16" t="s">
        <v>38</v>
      </c>
      <c r="I16">
        <f>IFERROR(GETPIVOTDATA("Full Name",$H$4,"Age range","36-45"),0)</f>
        <v>12</v>
      </c>
      <c r="R16" s="2" t="s">
        <v>35</v>
      </c>
      <c r="S16">
        <f>IFERROR(GETPIVOTDATA("Full Name",$R$4,"Skills","Management"),0)</f>
        <v>11</v>
      </c>
      <c r="U16" t="s">
        <v>29</v>
      </c>
      <c r="V16">
        <f>IFERROR(GETPIVOTDATA("Leave Taken",$U$4,"Job Title","HR Specialist"),0)</f>
        <v>86</v>
      </c>
      <c r="X16" s="2" t="s">
        <v>58</v>
      </c>
      <c r="Y16">
        <f>IFERROR(GETPIVOTDATA("Full Name",$X$4,"Region","South"),0)</f>
        <v>10</v>
      </c>
      <c r="AA16" s="2" t="s">
        <v>30</v>
      </c>
      <c r="AB16" s="7">
        <f>IFERROR(GETPIVOTDATA("Performance Rating",$AA$4,"Department","Marketing"),0)</f>
        <v>2.3636363636363638</v>
      </c>
      <c r="AH16" s="2" t="s">
        <v>59</v>
      </c>
      <c r="AI16" s="10">
        <f>IFERROR(GETPIVOTDATA("Salary",$AH$4,"Department","IT"),0)</f>
        <v>501195</v>
      </c>
    </row>
    <row r="17" spans="5:35" x14ac:dyDescent="0.25">
      <c r="E17" t="s">
        <v>4</v>
      </c>
      <c r="F17" s="3">
        <f>IFERROR(GETPIVOTDATA("Salary",$E$4,"Job Title","Manager"),0)</f>
        <v>1098124</v>
      </c>
      <c r="H17" t="s">
        <v>76</v>
      </c>
      <c r="I17">
        <f>IFERROR(GETPIVOTDATA("Full Name",$H$4,"Age range","46-55"),0)</f>
        <v>7</v>
      </c>
      <c r="R17" s="2" t="s">
        <v>45</v>
      </c>
      <c r="S17">
        <f>IFERROR(GETPIVOTDATA("Full Name",$R$4,"Skills","Python"),0)</f>
        <v>9</v>
      </c>
      <c r="U17" t="s">
        <v>4</v>
      </c>
      <c r="V17">
        <f>IFERROR(GETPIVOTDATA("Leave Taken",$U$4,"Job Title","Manager"),0)</f>
        <v>195</v>
      </c>
      <c r="X17" s="2" t="s">
        <v>28</v>
      </c>
      <c r="Y17">
        <f>IFERROR(GETPIVOTDATA("Full Name",$X$4,"Region","West"),0)</f>
        <v>9</v>
      </c>
      <c r="AA17" s="2" t="s">
        <v>39</v>
      </c>
      <c r="AB17" s="7">
        <f>IFERROR(GETPIVOTDATA("Performance Rating",$AA$4,"Department","Operations"),0)</f>
        <v>2.5555555555555554</v>
      </c>
      <c r="AH17" s="2" t="s">
        <v>39</v>
      </c>
      <c r="AI17" s="10">
        <f>IFERROR(GETPIVOTDATA("Salary",$AH$4,"Department","Operations"),0)</f>
        <v>499890</v>
      </c>
    </row>
    <row r="18" spans="5:35" x14ac:dyDescent="0.25">
      <c r="E18" t="s">
        <v>217</v>
      </c>
      <c r="F18" s="3">
        <f>SUM(F13:F17)</f>
        <v>3104913</v>
      </c>
      <c r="H18" s="2" t="s">
        <v>232</v>
      </c>
      <c r="I18">
        <f>IFERROR(GETPIVOTDATA("Full Name",$H$4,"Age range","&gt;=56"),0)</f>
        <v>9</v>
      </c>
      <c r="R18" s="2" t="s">
        <v>217</v>
      </c>
      <c r="S18">
        <f>SUM(S13:S17)</f>
        <v>50</v>
      </c>
      <c r="U18" t="s">
        <v>217</v>
      </c>
      <c r="V18">
        <f>SUM(V13:V17)</f>
        <v>487</v>
      </c>
      <c r="X18" s="2" t="s">
        <v>217</v>
      </c>
      <c r="Y18">
        <f>SUM(Y13:Y17)</f>
        <v>50</v>
      </c>
      <c r="AA18" s="2" t="s">
        <v>217</v>
      </c>
      <c r="AB18" s="8">
        <f>AVERAGE(AB13:AB17)</f>
        <v>2.6105050505050502</v>
      </c>
      <c r="AH18" s="2" t="s">
        <v>217</v>
      </c>
      <c r="AI18" s="12">
        <f>SUM(AI14:AI17)</f>
        <v>2331802</v>
      </c>
    </row>
    <row r="19" spans="5:35" x14ac:dyDescent="0.25">
      <c r="H19" t="s">
        <v>217</v>
      </c>
      <c r="I19">
        <f>SUM(I14:I18)</f>
        <v>50</v>
      </c>
    </row>
    <row r="22" spans="5:35" x14ac:dyDescent="0.25">
      <c r="H22" t="s">
        <v>16</v>
      </c>
      <c r="I22">
        <f>IFERROR(GETPIVOTDATA("Full Name",$H$4,"Gender","Male"),0)</f>
        <v>24</v>
      </c>
      <c r="J22" s="4">
        <f t="shared" ref="J22:J23" si="2">SUM(I22)/SUM($I$22:$I$23)</f>
        <v>0.48</v>
      </c>
      <c r="K22" s="5">
        <f>1-J22</f>
        <v>0.52</v>
      </c>
    </row>
    <row r="23" spans="5:35" x14ac:dyDescent="0.25">
      <c r="H23" t="s">
        <v>1</v>
      </c>
      <c r="I23">
        <f>IFERROR(GETPIVOTDATA("Full Name",$H$4,"Gender","Female"),0)</f>
        <v>26</v>
      </c>
      <c r="J23" s="4">
        <f t="shared" si="2"/>
        <v>0.52</v>
      </c>
      <c r="K23" s="5">
        <f>1-J23</f>
        <v>0.48</v>
      </c>
    </row>
    <row r="24" spans="5:35" x14ac:dyDescent="0.25">
      <c r="H24" t="s">
        <v>217</v>
      </c>
      <c r="I24">
        <f>SUM(I22:I23)</f>
        <v>50</v>
      </c>
      <c r="J24" s="5">
        <f>SUM(J22:J23)</f>
        <v>1</v>
      </c>
    </row>
  </sheetData>
  <mergeCells count="9">
    <mergeCell ref="AA2:AB2"/>
    <mergeCell ref="AH2:AI2"/>
    <mergeCell ref="X2:Y2"/>
    <mergeCell ref="U2:V2"/>
    <mergeCell ref="B2:C2"/>
    <mergeCell ref="E2:F2"/>
    <mergeCell ref="H2:K2"/>
    <mergeCell ref="M2:N2"/>
    <mergeCell ref="R2:S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51"/>
  <sheetViews>
    <sheetView zoomScaleNormal="100" workbookViewId="0">
      <selection activeCell="L2" sqref="L2"/>
    </sheetView>
  </sheetViews>
  <sheetFormatPr defaultRowHeight="15" x14ac:dyDescent="0.25"/>
  <cols>
    <col min="1" max="1" width="14.28515625" customWidth="1"/>
    <col min="2" max="2" width="17.42578125" bestFit="1" customWidth="1"/>
    <col min="3" max="3" width="9.85546875" customWidth="1"/>
    <col min="4" max="4" width="6.5703125" customWidth="1"/>
    <col min="5" max="5" width="12" customWidth="1"/>
    <col min="6" max="6" width="9.28515625" customWidth="1"/>
    <col min="7" max="7" width="12.28515625" bestFit="1" customWidth="1"/>
    <col min="8" max="8" width="13.85546875" customWidth="1"/>
    <col min="9" max="9" width="21.28515625" customWidth="1"/>
    <col min="10" max="12" width="13.7109375" customWidth="1"/>
    <col min="13" max="13" width="20.28515625" customWidth="1"/>
    <col min="14" max="14" width="15.85546875" customWidth="1"/>
    <col min="15" max="15" width="11.5703125" bestFit="1" customWidth="1"/>
    <col min="16" max="16" width="12.140625" customWidth="1"/>
    <col min="17" max="17" width="19.5703125" customWidth="1"/>
    <col min="18" max="18" width="18.28515625" customWidth="1"/>
    <col min="19" max="19" width="14" customWidth="1"/>
    <col min="20" max="21" width="20.5703125" customWidth="1"/>
    <col min="22" max="22" width="27.85546875" customWidth="1"/>
    <col min="23" max="23" width="15.140625" bestFit="1" customWidth="1"/>
    <col min="24" max="24" width="20.5703125" bestFit="1" customWidth="1"/>
  </cols>
  <sheetData>
    <row r="1" spans="1:24" x14ac:dyDescent="0.25">
      <c r="A1" t="s">
        <v>192</v>
      </c>
      <c r="B1" t="s">
        <v>193</v>
      </c>
      <c r="C1" t="s">
        <v>194</v>
      </c>
      <c r="D1" t="s">
        <v>195</v>
      </c>
      <c r="E1" t="s">
        <v>196</v>
      </c>
      <c r="F1" t="s">
        <v>197</v>
      </c>
      <c r="G1" t="s">
        <v>198</v>
      </c>
      <c r="H1" t="s">
        <v>199</v>
      </c>
      <c r="I1" t="s">
        <v>200</v>
      </c>
      <c r="J1" t="s">
        <v>201</v>
      </c>
      <c r="K1" t="s">
        <v>225</v>
      </c>
      <c r="L1" t="s">
        <v>226</v>
      </c>
      <c r="M1" t="s">
        <v>202</v>
      </c>
      <c r="N1" t="s">
        <v>203</v>
      </c>
      <c r="O1" t="s">
        <v>204</v>
      </c>
      <c r="P1" t="s">
        <v>205</v>
      </c>
      <c r="Q1" t="s">
        <v>206</v>
      </c>
      <c r="R1" t="s">
        <v>207</v>
      </c>
      <c r="S1" t="s">
        <v>208</v>
      </c>
      <c r="T1" t="s">
        <v>209</v>
      </c>
      <c r="U1" t="s">
        <v>227</v>
      </c>
      <c r="V1" t="s">
        <v>210</v>
      </c>
      <c r="W1" t="s">
        <v>211</v>
      </c>
      <c r="X1" t="s">
        <v>212</v>
      </c>
    </row>
    <row r="2" spans="1:24" x14ac:dyDescent="0.25">
      <c r="A2">
        <v>1550</v>
      </c>
      <c r="B2" t="s">
        <v>150</v>
      </c>
      <c r="C2" t="s">
        <v>16</v>
      </c>
      <c r="D2">
        <v>21</v>
      </c>
      <c r="E2" t="s">
        <v>2</v>
      </c>
      <c r="F2" t="s">
        <v>18</v>
      </c>
      <c r="G2" t="s">
        <v>4</v>
      </c>
      <c r="H2" t="s">
        <v>5</v>
      </c>
      <c r="I2" t="s">
        <v>151</v>
      </c>
      <c r="J2" t="s">
        <v>152</v>
      </c>
      <c r="K2">
        <f ca="1">YEAR(TODAY()) - YEAR(RawData[Date of Hire])</f>
        <v>6</v>
      </c>
      <c r="L2">
        <f ca="1">DATEDIF(RawData[Date of Hire], TODAY(), "M")</f>
        <v>68</v>
      </c>
      <c r="M2" t="s">
        <v>8</v>
      </c>
      <c r="N2" t="s">
        <v>33</v>
      </c>
      <c r="O2" s="3">
        <v>95510</v>
      </c>
      <c r="P2" t="s">
        <v>10</v>
      </c>
      <c r="Q2">
        <v>6811</v>
      </c>
      <c r="R2" t="s">
        <v>11</v>
      </c>
      <c r="S2">
        <v>18</v>
      </c>
      <c r="T2">
        <v>4</v>
      </c>
      <c r="U2" t="str">
        <f>IF(RawData[Performance Rating] &gt;= 4, "Yes", "No")</f>
        <v>Yes</v>
      </c>
      <c r="V2" t="s">
        <v>26</v>
      </c>
      <c r="W2" t="s">
        <v>74</v>
      </c>
      <c r="X2" t="s">
        <v>14</v>
      </c>
    </row>
    <row r="3" spans="1:24" x14ac:dyDescent="0.25">
      <c r="A3">
        <v>1952</v>
      </c>
      <c r="B3" t="s">
        <v>183</v>
      </c>
      <c r="C3" t="s">
        <v>1</v>
      </c>
      <c r="D3">
        <v>29</v>
      </c>
      <c r="E3" t="s">
        <v>17</v>
      </c>
      <c r="F3" t="s">
        <v>80</v>
      </c>
      <c r="G3" t="s">
        <v>4</v>
      </c>
      <c r="H3" t="s">
        <v>20</v>
      </c>
      <c r="I3" t="s">
        <v>184</v>
      </c>
      <c r="J3" t="s">
        <v>185</v>
      </c>
      <c r="K3">
        <f ca="1">YEAR(TODAY()) - YEAR(RawData[Date of Hire])</f>
        <v>1</v>
      </c>
      <c r="L3">
        <f ca="1">DATEDIF(RawData[Date of Hire], TODAY(), "M")</f>
        <v>11</v>
      </c>
      <c r="M3" t="s">
        <v>8</v>
      </c>
      <c r="N3" t="s">
        <v>33</v>
      </c>
      <c r="O3" s="3">
        <v>45188</v>
      </c>
      <c r="P3" t="s">
        <v>43</v>
      </c>
      <c r="Q3">
        <v>9591</v>
      </c>
      <c r="R3" t="s">
        <v>44</v>
      </c>
      <c r="S3">
        <v>18</v>
      </c>
      <c r="T3">
        <v>3</v>
      </c>
      <c r="U3" t="str">
        <f>IF(RawData[Performance Rating] &gt;= 4, "Yes", "No")</f>
        <v>No</v>
      </c>
      <c r="V3" t="s">
        <v>12</v>
      </c>
      <c r="W3" t="s">
        <v>53</v>
      </c>
      <c r="X3" t="s">
        <v>25</v>
      </c>
    </row>
    <row r="4" spans="1:24" x14ac:dyDescent="0.25">
      <c r="A4">
        <v>1955</v>
      </c>
      <c r="B4" t="s">
        <v>162</v>
      </c>
      <c r="C4" t="s">
        <v>1</v>
      </c>
      <c r="D4">
        <v>58</v>
      </c>
      <c r="E4" t="s">
        <v>232</v>
      </c>
      <c r="F4" t="s">
        <v>28</v>
      </c>
      <c r="G4" t="s">
        <v>29</v>
      </c>
      <c r="H4" t="s">
        <v>20</v>
      </c>
      <c r="I4" t="s">
        <v>163</v>
      </c>
      <c r="J4" t="s">
        <v>164</v>
      </c>
      <c r="K4">
        <f ca="1">YEAR(TODAY()) - YEAR(RawData[Date of Hire])</f>
        <v>8</v>
      </c>
      <c r="L4">
        <f ca="1">DATEDIF(RawData[Date of Hire], TODAY(), "M")</f>
        <v>94</v>
      </c>
      <c r="M4" t="s">
        <v>42</v>
      </c>
      <c r="N4" t="s">
        <v>33</v>
      </c>
      <c r="O4" s="3">
        <v>46567</v>
      </c>
      <c r="P4" t="s">
        <v>43</v>
      </c>
      <c r="Q4">
        <v>2825</v>
      </c>
      <c r="R4" t="s">
        <v>11</v>
      </c>
      <c r="S4">
        <v>15</v>
      </c>
      <c r="T4">
        <v>3</v>
      </c>
      <c r="U4" t="str">
        <f>IF(RawData[Performance Rating] &gt;= 4, "Yes", "No")</f>
        <v>No</v>
      </c>
      <c r="V4" t="s">
        <v>25</v>
      </c>
      <c r="W4" t="s">
        <v>74</v>
      </c>
      <c r="X4" t="s">
        <v>36</v>
      </c>
    </row>
    <row r="5" spans="1:24" x14ac:dyDescent="0.25">
      <c r="A5">
        <v>2263</v>
      </c>
      <c r="B5" t="s">
        <v>102</v>
      </c>
      <c r="C5" t="s">
        <v>16</v>
      </c>
      <c r="D5">
        <v>31</v>
      </c>
      <c r="E5" t="s">
        <v>17</v>
      </c>
      <c r="F5" t="s">
        <v>58</v>
      </c>
      <c r="G5" t="s">
        <v>29</v>
      </c>
      <c r="H5" t="s">
        <v>20</v>
      </c>
      <c r="I5" t="s">
        <v>103</v>
      </c>
      <c r="J5" t="s">
        <v>104</v>
      </c>
      <c r="K5">
        <f ca="1">YEAR(TODAY()) - YEAR(RawData[Date of Hire])</f>
        <v>4</v>
      </c>
      <c r="L5">
        <f ca="1">DATEDIF(RawData[Date of Hire], TODAY(), "M")</f>
        <v>42</v>
      </c>
      <c r="M5" t="s">
        <v>42</v>
      </c>
      <c r="N5" t="s">
        <v>23</v>
      </c>
      <c r="O5" s="3">
        <v>87538</v>
      </c>
      <c r="P5" t="s">
        <v>10</v>
      </c>
      <c r="Q5">
        <v>3588</v>
      </c>
      <c r="R5" t="s">
        <v>44</v>
      </c>
      <c r="S5">
        <v>11</v>
      </c>
      <c r="T5">
        <v>5</v>
      </c>
      <c r="U5" t="str">
        <f>IF(RawData[Performance Rating] &gt;= 4, "Yes", "No")</f>
        <v>Yes</v>
      </c>
      <c r="V5" t="s">
        <v>26</v>
      </c>
      <c r="W5" t="s">
        <v>45</v>
      </c>
      <c r="X5" t="s">
        <v>25</v>
      </c>
    </row>
    <row r="6" spans="1:24" x14ac:dyDescent="0.25">
      <c r="A6">
        <v>2436</v>
      </c>
      <c r="B6" t="s">
        <v>79</v>
      </c>
      <c r="C6" t="s">
        <v>16</v>
      </c>
      <c r="D6">
        <v>60</v>
      </c>
      <c r="E6" t="s">
        <v>232</v>
      </c>
      <c r="F6" t="s">
        <v>80</v>
      </c>
      <c r="G6" t="s">
        <v>4</v>
      </c>
      <c r="H6" t="s">
        <v>39</v>
      </c>
      <c r="I6" t="s">
        <v>81</v>
      </c>
      <c r="J6" t="s">
        <v>82</v>
      </c>
      <c r="K6">
        <f ca="1">YEAR(TODAY()) - YEAR(RawData[Date of Hire])</f>
        <v>10</v>
      </c>
      <c r="L6">
        <f ca="1">DATEDIF(RawData[Date of Hire], TODAY(), "M")</f>
        <v>111</v>
      </c>
      <c r="M6" t="s">
        <v>42</v>
      </c>
      <c r="N6" t="s">
        <v>33</v>
      </c>
      <c r="O6" s="3">
        <v>70452</v>
      </c>
      <c r="P6" t="s">
        <v>34</v>
      </c>
      <c r="Q6">
        <v>9911</v>
      </c>
      <c r="R6" t="s">
        <v>25</v>
      </c>
      <c r="S6">
        <v>2</v>
      </c>
      <c r="T6">
        <v>1</v>
      </c>
      <c r="U6" t="str">
        <f>IF(RawData[Performance Rating] &gt;= 4, "Yes", "No")</f>
        <v>No</v>
      </c>
      <c r="V6" t="s">
        <v>25</v>
      </c>
      <c r="W6" t="s">
        <v>53</v>
      </c>
      <c r="X6" t="s">
        <v>14</v>
      </c>
    </row>
    <row r="7" spans="1:24" x14ac:dyDescent="0.25">
      <c r="A7">
        <v>2873</v>
      </c>
      <c r="B7" t="s">
        <v>49</v>
      </c>
      <c r="C7" t="s">
        <v>1</v>
      </c>
      <c r="D7">
        <v>28</v>
      </c>
      <c r="E7" t="s">
        <v>17</v>
      </c>
      <c r="F7" t="s">
        <v>28</v>
      </c>
      <c r="G7" t="s">
        <v>50</v>
      </c>
      <c r="H7" t="s">
        <v>30</v>
      </c>
      <c r="I7" t="s">
        <v>51</v>
      </c>
      <c r="J7" t="s">
        <v>52</v>
      </c>
      <c r="K7">
        <f ca="1">YEAR(TODAY()) - YEAR(RawData[Date of Hire])</f>
        <v>8</v>
      </c>
      <c r="L7">
        <f ca="1">DATEDIF(RawData[Date of Hire], TODAY(), "M")</f>
        <v>97</v>
      </c>
      <c r="M7" t="s">
        <v>8</v>
      </c>
      <c r="N7" t="s">
        <v>23</v>
      </c>
      <c r="O7" s="3">
        <v>96249</v>
      </c>
      <c r="P7" t="s">
        <v>10</v>
      </c>
      <c r="Q7">
        <v>4826</v>
      </c>
      <c r="R7" t="s">
        <v>44</v>
      </c>
      <c r="S7">
        <v>7</v>
      </c>
      <c r="T7">
        <v>3</v>
      </c>
      <c r="U7" t="str">
        <f>IF(RawData[Performance Rating] &gt;= 4, "Yes", "No")</f>
        <v>No</v>
      </c>
      <c r="V7" t="s">
        <v>12</v>
      </c>
      <c r="W7" t="s">
        <v>53</v>
      </c>
      <c r="X7" t="s">
        <v>14</v>
      </c>
    </row>
    <row r="8" spans="1:24" x14ac:dyDescent="0.25">
      <c r="A8">
        <v>3078</v>
      </c>
      <c r="B8" t="s">
        <v>168</v>
      </c>
      <c r="C8" t="s">
        <v>1</v>
      </c>
      <c r="D8">
        <v>21</v>
      </c>
      <c r="E8" t="s">
        <v>2</v>
      </c>
      <c r="F8" t="s">
        <v>3</v>
      </c>
      <c r="G8" t="s">
        <v>4</v>
      </c>
      <c r="H8" t="s">
        <v>59</v>
      </c>
      <c r="I8" t="s">
        <v>169</v>
      </c>
      <c r="J8" t="s">
        <v>170</v>
      </c>
      <c r="K8">
        <f ca="1">YEAR(TODAY()) - YEAR(RawData[Date of Hire])</f>
        <v>7</v>
      </c>
      <c r="L8">
        <f ca="1">DATEDIF(RawData[Date of Hire], TODAY(), "M")</f>
        <v>74</v>
      </c>
      <c r="M8" t="s">
        <v>42</v>
      </c>
      <c r="N8" t="s">
        <v>33</v>
      </c>
      <c r="O8" s="3">
        <v>59506</v>
      </c>
      <c r="P8" t="s">
        <v>43</v>
      </c>
      <c r="Q8">
        <v>4428</v>
      </c>
      <c r="R8" t="s">
        <v>44</v>
      </c>
      <c r="S8">
        <v>0</v>
      </c>
      <c r="T8">
        <v>1</v>
      </c>
      <c r="U8" t="str">
        <f>IF(RawData[Performance Rating] &gt;= 4, "Yes", "No")</f>
        <v>No</v>
      </c>
      <c r="V8" t="s">
        <v>25</v>
      </c>
      <c r="W8" t="s">
        <v>53</v>
      </c>
      <c r="X8" t="s">
        <v>14</v>
      </c>
    </row>
    <row r="9" spans="1:24" x14ac:dyDescent="0.25">
      <c r="A9">
        <v>3104</v>
      </c>
      <c r="B9" t="s">
        <v>114</v>
      </c>
      <c r="C9" t="s">
        <v>1</v>
      </c>
      <c r="D9">
        <v>23</v>
      </c>
      <c r="E9" t="s">
        <v>2</v>
      </c>
      <c r="F9" t="s">
        <v>58</v>
      </c>
      <c r="G9" t="s">
        <v>4</v>
      </c>
      <c r="H9" t="s">
        <v>20</v>
      </c>
      <c r="I9" t="s">
        <v>115</v>
      </c>
      <c r="J9" t="s">
        <v>116</v>
      </c>
      <c r="K9">
        <f ca="1">YEAR(TODAY()) - YEAR(RawData[Date of Hire])</f>
        <v>1</v>
      </c>
      <c r="L9">
        <f ca="1">DATEDIF(RawData[Date of Hire], TODAY(), "M")</f>
        <v>9</v>
      </c>
      <c r="M9" t="s">
        <v>89</v>
      </c>
      <c r="N9" t="s">
        <v>23</v>
      </c>
      <c r="O9" s="3">
        <v>37351</v>
      </c>
      <c r="P9" t="s">
        <v>34</v>
      </c>
      <c r="Q9">
        <v>7858</v>
      </c>
      <c r="R9" t="s">
        <v>44</v>
      </c>
      <c r="S9">
        <v>18</v>
      </c>
      <c r="T9">
        <v>2</v>
      </c>
      <c r="U9" t="str">
        <f>IF(RawData[Performance Rating] &gt;= 4, "Yes", "No")</f>
        <v>No</v>
      </c>
      <c r="V9" t="s">
        <v>12</v>
      </c>
      <c r="W9" t="s">
        <v>35</v>
      </c>
      <c r="X9" t="s">
        <v>36</v>
      </c>
    </row>
    <row r="10" spans="1:24" x14ac:dyDescent="0.25">
      <c r="A10">
        <v>3358</v>
      </c>
      <c r="B10" t="s">
        <v>123</v>
      </c>
      <c r="C10" t="s">
        <v>16</v>
      </c>
      <c r="D10">
        <v>30</v>
      </c>
      <c r="E10" t="s">
        <v>17</v>
      </c>
      <c r="F10" t="s">
        <v>18</v>
      </c>
      <c r="G10" t="s">
        <v>4</v>
      </c>
      <c r="H10" t="s">
        <v>20</v>
      </c>
      <c r="I10" t="s">
        <v>124</v>
      </c>
      <c r="J10" t="s">
        <v>125</v>
      </c>
      <c r="K10">
        <f ca="1">YEAR(TODAY()) - YEAR(RawData[Date of Hire])</f>
        <v>3</v>
      </c>
      <c r="L10">
        <f ca="1">DATEDIF(RawData[Date of Hire], TODAY(), "M")</f>
        <v>33</v>
      </c>
      <c r="M10" t="s">
        <v>8</v>
      </c>
      <c r="N10" t="s">
        <v>9</v>
      </c>
      <c r="O10" s="3">
        <v>59007</v>
      </c>
      <c r="P10" t="s">
        <v>10</v>
      </c>
      <c r="Q10">
        <v>3380</v>
      </c>
      <c r="R10" t="s">
        <v>11</v>
      </c>
      <c r="S10">
        <v>17</v>
      </c>
      <c r="T10">
        <v>3</v>
      </c>
      <c r="U10" t="str">
        <f>IF(RawData[Performance Rating] &gt;= 4, "Yes", "No")</f>
        <v>No</v>
      </c>
      <c r="V10" t="s">
        <v>25</v>
      </c>
      <c r="W10" t="s">
        <v>74</v>
      </c>
      <c r="X10" t="s">
        <v>14</v>
      </c>
    </row>
    <row r="11" spans="1:24" x14ac:dyDescent="0.25">
      <c r="A11">
        <v>3487</v>
      </c>
      <c r="B11" t="s">
        <v>144</v>
      </c>
      <c r="C11" t="s">
        <v>16</v>
      </c>
      <c r="D11">
        <v>58</v>
      </c>
      <c r="E11" t="s">
        <v>232</v>
      </c>
      <c r="F11" t="s">
        <v>18</v>
      </c>
      <c r="G11" t="s">
        <v>19</v>
      </c>
      <c r="H11" t="s">
        <v>39</v>
      </c>
      <c r="I11" t="s">
        <v>145</v>
      </c>
      <c r="J11" t="s">
        <v>146</v>
      </c>
      <c r="K11">
        <f ca="1">YEAR(TODAY()) - YEAR(RawData[Date of Hire])</f>
        <v>7</v>
      </c>
      <c r="L11">
        <f ca="1">DATEDIF(RawData[Date of Hire], TODAY(), "M")</f>
        <v>79</v>
      </c>
      <c r="M11" t="s">
        <v>42</v>
      </c>
      <c r="N11" t="s">
        <v>33</v>
      </c>
      <c r="O11" s="3">
        <v>74789</v>
      </c>
      <c r="P11" t="s">
        <v>10</v>
      </c>
      <c r="Q11">
        <v>8101</v>
      </c>
      <c r="R11" t="s">
        <v>44</v>
      </c>
      <c r="S11">
        <v>14</v>
      </c>
      <c r="T11">
        <v>5</v>
      </c>
      <c r="U11" t="str">
        <f>IF(RawData[Performance Rating] &gt;= 4, "Yes", "No")</f>
        <v>Yes</v>
      </c>
      <c r="V11" t="s">
        <v>26</v>
      </c>
      <c r="W11" t="s">
        <v>45</v>
      </c>
      <c r="X11" t="s">
        <v>25</v>
      </c>
    </row>
    <row r="12" spans="1:24" x14ac:dyDescent="0.25">
      <c r="A12">
        <v>3540</v>
      </c>
      <c r="B12" t="s">
        <v>54</v>
      </c>
      <c r="C12" t="s">
        <v>1</v>
      </c>
      <c r="D12">
        <v>20</v>
      </c>
      <c r="E12" t="s">
        <v>2</v>
      </c>
      <c r="F12" t="s">
        <v>18</v>
      </c>
      <c r="G12" t="s">
        <v>50</v>
      </c>
      <c r="H12" t="s">
        <v>30</v>
      </c>
      <c r="I12" t="s">
        <v>55</v>
      </c>
      <c r="J12" t="s">
        <v>56</v>
      </c>
      <c r="K12">
        <f ca="1">YEAR(TODAY()) - YEAR(RawData[Date of Hire])</f>
        <v>1</v>
      </c>
      <c r="L12">
        <f ca="1">DATEDIF(RawData[Date of Hire], TODAY(), "M")</f>
        <v>6</v>
      </c>
      <c r="M12" t="s">
        <v>8</v>
      </c>
      <c r="N12" t="s">
        <v>33</v>
      </c>
      <c r="O12" s="3">
        <v>61596</v>
      </c>
      <c r="P12" t="s">
        <v>10</v>
      </c>
      <c r="Q12">
        <v>8818</v>
      </c>
      <c r="R12" t="s">
        <v>44</v>
      </c>
      <c r="S12">
        <v>4</v>
      </c>
      <c r="T12">
        <v>2</v>
      </c>
      <c r="U12" t="str">
        <f>IF(RawData[Performance Rating] &gt;= 4, "Yes", "No")</f>
        <v>No</v>
      </c>
      <c r="V12" t="s">
        <v>12</v>
      </c>
      <c r="W12" t="s">
        <v>35</v>
      </c>
      <c r="X12" t="s">
        <v>25</v>
      </c>
    </row>
    <row r="13" spans="1:24" x14ac:dyDescent="0.25">
      <c r="A13">
        <v>3653</v>
      </c>
      <c r="B13" t="s">
        <v>57</v>
      </c>
      <c r="C13" t="s">
        <v>1</v>
      </c>
      <c r="D13">
        <v>58</v>
      </c>
      <c r="E13" t="s">
        <v>232</v>
      </c>
      <c r="F13" t="s">
        <v>58</v>
      </c>
      <c r="G13" t="s">
        <v>19</v>
      </c>
      <c r="H13" t="s">
        <v>59</v>
      </c>
      <c r="I13" t="s">
        <v>60</v>
      </c>
      <c r="J13" t="s">
        <v>61</v>
      </c>
      <c r="K13">
        <f ca="1">YEAR(TODAY()) - YEAR(RawData[Date of Hire])</f>
        <v>11</v>
      </c>
      <c r="L13">
        <f ca="1">DATEDIF(RawData[Date of Hire], TODAY(), "M")</f>
        <v>122</v>
      </c>
      <c r="M13" t="s">
        <v>8</v>
      </c>
      <c r="N13" t="s">
        <v>33</v>
      </c>
      <c r="O13" s="3">
        <v>97869</v>
      </c>
      <c r="P13" t="s">
        <v>43</v>
      </c>
      <c r="Q13">
        <v>1966</v>
      </c>
      <c r="R13" t="s">
        <v>11</v>
      </c>
      <c r="S13">
        <v>10</v>
      </c>
      <c r="T13">
        <v>1</v>
      </c>
      <c r="U13" t="str">
        <f>IF(RawData[Performance Rating] &gt;= 4, "Yes", "No")</f>
        <v>No</v>
      </c>
      <c r="V13" t="s">
        <v>12</v>
      </c>
      <c r="W13" t="s">
        <v>13</v>
      </c>
      <c r="X13" t="s">
        <v>14</v>
      </c>
    </row>
    <row r="14" spans="1:24" x14ac:dyDescent="0.25">
      <c r="A14">
        <v>4294</v>
      </c>
      <c r="B14" t="s">
        <v>0</v>
      </c>
      <c r="C14" t="s">
        <v>1</v>
      </c>
      <c r="D14">
        <v>25</v>
      </c>
      <c r="E14" t="s">
        <v>2</v>
      </c>
      <c r="F14" t="s">
        <v>3</v>
      </c>
      <c r="G14" t="s">
        <v>4</v>
      </c>
      <c r="H14" t="s">
        <v>5</v>
      </c>
      <c r="I14" t="s">
        <v>6</v>
      </c>
      <c r="J14" t="s">
        <v>7</v>
      </c>
      <c r="K14">
        <f ca="1">YEAR(TODAY()) - YEAR(RawData[Date of Hire])</f>
        <v>6</v>
      </c>
      <c r="L14">
        <f ca="1">DATEDIF(RawData[Date of Hire], TODAY(), "M")</f>
        <v>71</v>
      </c>
      <c r="M14" t="s">
        <v>8</v>
      </c>
      <c r="N14" t="s">
        <v>9</v>
      </c>
      <c r="O14" s="3">
        <v>53700</v>
      </c>
      <c r="P14" t="s">
        <v>10</v>
      </c>
      <c r="Q14">
        <v>1463</v>
      </c>
      <c r="R14" t="s">
        <v>11</v>
      </c>
      <c r="S14">
        <v>1</v>
      </c>
      <c r="T14">
        <v>1</v>
      </c>
      <c r="U14" t="str">
        <f>IF(RawData[Performance Rating] &gt;= 4, "Yes", "No")</f>
        <v>No</v>
      </c>
      <c r="V14" t="s">
        <v>12</v>
      </c>
      <c r="W14" t="s">
        <v>13</v>
      </c>
      <c r="X14" t="s">
        <v>14</v>
      </c>
    </row>
    <row r="15" spans="1:24" x14ac:dyDescent="0.25">
      <c r="A15">
        <v>4441</v>
      </c>
      <c r="B15" t="s">
        <v>83</v>
      </c>
      <c r="C15" t="s">
        <v>16</v>
      </c>
      <c r="D15">
        <v>46</v>
      </c>
      <c r="E15" t="s">
        <v>76</v>
      </c>
      <c r="F15" t="s">
        <v>18</v>
      </c>
      <c r="G15" t="s">
        <v>50</v>
      </c>
      <c r="H15" t="s">
        <v>5</v>
      </c>
      <c r="I15" t="s">
        <v>84</v>
      </c>
      <c r="J15" t="s">
        <v>85</v>
      </c>
      <c r="K15">
        <f ca="1">YEAR(TODAY()) - YEAR(RawData[Date of Hire])</f>
        <v>2</v>
      </c>
      <c r="L15">
        <f ca="1">DATEDIF(RawData[Date of Hire], TODAY(), "M")</f>
        <v>17</v>
      </c>
      <c r="M15" t="s">
        <v>8</v>
      </c>
      <c r="N15" t="s">
        <v>23</v>
      </c>
      <c r="O15" s="3">
        <v>33045</v>
      </c>
      <c r="P15" t="s">
        <v>24</v>
      </c>
      <c r="Q15">
        <v>1456</v>
      </c>
      <c r="R15" t="s">
        <v>25</v>
      </c>
      <c r="S15">
        <v>16</v>
      </c>
      <c r="T15">
        <v>3</v>
      </c>
      <c r="U15" t="str">
        <f>IF(RawData[Performance Rating] &gt;= 4, "Yes", "No")</f>
        <v>No</v>
      </c>
      <c r="V15" t="s">
        <v>26</v>
      </c>
      <c r="W15" t="s">
        <v>53</v>
      </c>
      <c r="X15" t="s">
        <v>25</v>
      </c>
    </row>
    <row r="16" spans="1:24" x14ac:dyDescent="0.25">
      <c r="A16">
        <v>4522</v>
      </c>
      <c r="B16" t="s">
        <v>165</v>
      </c>
      <c r="C16" t="s">
        <v>1</v>
      </c>
      <c r="D16">
        <v>36</v>
      </c>
      <c r="E16" t="s">
        <v>38</v>
      </c>
      <c r="F16" t="s">
        <v>3</v>
      </c>
      <c r="G16" t="s">
        <v>99</v>
      </c>
      <c r="H16" t="s">
        <v>5</v>
      </c>
      <c r="I16" t="s">
        <v>166</v>
      </c>
      <c r="J16" t="s">
        <v>167</v>
      </c>
      <c r="K16">
        <f ca="1">YEAR(TODAY()) - YEAR(RawData[Date of Hire])</f>
        <v>6</v>
      </c>
      <c r="L16">
        <f ca="1">DATEDIF(RawData[Date of Hire], TODAY(), "M")</f>
        <v>67</v>
      </c>
      <c r="M16" t="s">
        <v>42</v>
      </c>
      <c r="N16" t="s">
        <v>23</v>
      </c>
      <c r="O16" s="3">
        <v>39795</v>
      </c>
      <c r="P16" t="s">
        <v>43</v>
      </c>
      <c r="Q16">
        <v>1670</v>
      </c>
      <c r="R16" t="s">
        <v>25</v>
      </c>
      <c r="S16">
        <v>0</v>
      </c>
      <c r="T16">
        <v>2</v>
      </c>
      <c r="U16" t="str">
        <f>IF(RawData[Performance Rating] &gt;= 4, "Yes", "No")</f>
        <v>No</v>
      </c>
      <c r="V16" t="s">
        <v>26</v>
      </c>
      <c r="W16" t="s">
        <v>53</v>
      </c>
      <c r="X16" t="s">
        <v>25</v>
      </c>
    </row>
    <row r="17" spans="1:24" x14ac:dyDescent="0.25">
      <c r="A17">
        <v>5087</v>
      </c>
      <c r="B17" t="s">
        <v>120</v>
      </c>
      <c r="C17" t="s">
        <v>16</v>
      </c>
      <c r="D17">
        <v>28</v>
      </c>
      <c r="E17" t="s">
        <v>17</v>
      </c>
      <c r="F17" t="s">
        <v>28</v>
      </c>
      <c r="G17" t="s">
        <v>99</v>
      </c>
      <c r="H17" t="s">
        <v>5</v>
      </c>
      <c r="I17" t="s">
        <v>121</v>
      </c>
      <c r="J17" t="s">
        <v>122</v>
      </c>
      <c r="K17">
        <f ca="1">YEAR(TODAY()) - YEAR(RawData[Date of Hire])</f>
        <v>4</v>
      </c>
      <c r="L17">
        <f ca="1">DATEDIF(RawData[Date of Hire], TODAY(), "M")</f>
        <v>41</v>
      </c>
      <c r="M17" t="s">
        <v>42</v>
      </c>
      <c r="N17" t="s">
        <v>33</v>
      </c>
      <c r="O17" s="3">
        <v>46326</v>
      </c>
      <c r="P17" t="s">
        <v>24</v>
      </c>
      <c r="Q17">
        <v>9189</v>
      </c>
      <c r="R17" t="s">
        <v>44</v>
      </c>
      <c r="S17">
        <v>8</v>
      </c>
      <c r="T17">
        <v>4</v>
      </c>
      <c r="U17" t="str">
        <f>IF(RawData[Performance Rating] &gt;= 4, "Yes", "No")</f>
        <v>Yes</v>
      </c>
      <c r="V17" t="s">
        <v>12</v>
      </c>
      <c r="W17" t="s">
        <v>53</v>
      </c>
      <c r="X17" t="s">
        <v>36</v>
      </c>
    </row>
    <row r="18" spans="1:24" x14ac:dyDescent="0.25">
      <c r="A18">
        <v>5096</v>
      </c>
      <c r="B18" t="s">
        <v>98</v>
      </c>
      <c r="C18" t="s">
        <v>16</v>
      </c>
      <c r="D18">
        <v>36</v>
      </c>
      <c r="E18" t="s">
        <v>38</v>
      </c>
      <c r="F18" t="s">
        <v>18</v>
      </c>
      <c r="G18" t="s">
        <v>99</v>
      </c>
      <c r="H18" t="s">
        <v>39</v>
      </c>
      <c r="I18" t="s">
        <v>100</v>
      </c>
      <c r="J18" t="s">
        <v>101</v>
      </c>
      <c r="K18">
        <f ca="1">YEAR(TODAY()) - YEAR(RawData[Date of Hire])</f>
        <v>4</v>
      </c>
      <c r="L18">
        <f ca="1">DATEDIF(RawData[Date of Hire], TODAY(), "M")</f>
        <v>47</v>
      </c>
      <c r="M18" t="s">
        <v>8</v>
      </c>
      <c r="N18" t="s">
        <v>23</v>
      </c>
      <c r="O18" s="3">
        <v>46811</v>
      </c>
      <c r="P18" t="s">
        <v>34</v>
      </c>
      <c r="Q18">
        <v>1567</v>
      </c>
      <c r="R18" t="s">
        <v>25</v>
      </c>
      <c r="S18">
        <v>7</v>
      </c>
      <c r="T18">
        <v>3</v>
      </c>
      <c r="U18" t="str">
        <f>IF(RawData[Performance Rating] &gt;= 4, "Yes", "No")</f>
        <v>No</v>
      </c>
      <c r="V18" t="s">
        <v>26</v>
      </c>
      <c r="W18" t="s">
        <v>13</v>
      </c>
      <c r="X18" t="s">
        <v>36</v>
      </c>
    </row>
    <row r="19" spans="1:24" x14ac:dyDescent="0.25">
      <c r="A19">
        <v>5120</v>
      </c>
      <c r="B19" t="s">
        <v>27</v>
      </c>
      <c r="C19" t="s">
        <v>16</v>
      </c>
      <c r="D19">
        <v>34</v>
      </c>
      <c r="E19" t="s">
        <v>17</v>
      </c>
      <c r="F19" t="s">
        <v>28</v>
      </c>
      <c r="G19" t="s">
        <v>50</v>
      </c>
      <c r="H19" t="s">
        <v>30</v>
      </c>
      <c r="I19" t="s">
        <v>31</v>
      </c>
      <c r="J19" t="s">
        <v>32</v>
      </c>
      <c r="K19">
        <f ca="1">YEAR(TODAY()) - YEAR(RawData[Date of Hire])</f>
        <v>3</v>
      </c>
      <c r="L19">
        <f ca="1">DATEDIF(RawData[Date of Hire], TODAY(), "M")</f>
        <v>30</v>
      </c>
      <c r="M19" t="s">
        <v>8</v>
      </c>
      <c r="N19" t="s">
        <v>33</v>
      </c>
      <c r="O19" s="3">
        <v>57538</v>
      </c>
      <c r="P19" t="s">
        <v>34</v>
      </c>
      <c r="Q19">
        <v>1674</v>
      </c>
      <c r="R19" t="s">
        <v>25</v>
      </c>
      <c r="S19">
        <v>8</v>
      </c>
      <c r="T19">
        <v>1</v>
      </c>
      <c r="U19" t="str">
        <f>IF(RawData[Performance Rating] &gt;= 4, "Yes", "No")</f>
        <v>No</v>
      </c>
      <c r="V19" t="s">
        <v>25</v>
      </c>
      <c r="W19" t="s">
        <v>35</v>
      </c>
      <c r="X19" t="s">
        <v>36</v>
      </c>
    </row>
    <row r="20" spans="1:24" x14ac:dyDescent="0.25">
      <c r="A20">
        <v>5184</v>
      </c>
      <c r="B20" t="s">
        <v>90</v>
      </c>
      <c r="C20" t="s">
        <v>1</v>
      </c>
      <c r="D20">
        <v>24</v>
      </c>
      <c r="E20" t="s">
        <v>2</v>
      </c>
      <c r="F20" t="s">
        <v>18</v>
      </c>
      <c r="G20" t="s">
        <v>50</v>
      </c>
      <c r="H20" t="s">
        <v>30</v>
      </c>
      <c r="I20" t="s">
        <v>91</v>
      </c>
      <c r="J20" t="s">
        <v>92</v>
      </c>
      <c r="K20">
        <f ca="1">YEAR(TODAY()) - YEAR(RawData[Date of Hire])</f>
        <v>8</v>
      </c>
      <c r="L20">
        <f ca="1">DATEDIF(RawData[Date of Hire], TODAY(), "M")</f>
        <v>95</v>
      </c>
      <c r="M20" t="s">
        <v>89</v>
      </c>
      <c r="N20" t="s">
        <v>33</v>
      </c>
      <c r="O20" s="3">
        <v>33183</v>
      </c>
      <c r="P20" t="s">
        <v>43</v>
      </c>
      <c r="Q20">
        <v>8114</v>
      </c>
      <c r="R20" t="s">
        <v>25</v>
      </c>
      <c r="S20">
        <v>4</v>
      </c>
      <c r="T20">
        <v>2</v>
      </c>
      <c r="U20" t="str">
        <f>IF(RawData[Performance Rating] &gt;= 4, "Yes", "No")</f>
        <v>No</v>
      </c>
      <c r="V20" t="s">
        <v>26</v>
      </c>
      <c r="W20" t="s">
        <v>74</v>
      </c>
      <c r="X20" t="s">
        <v>36</v>
      </c>
    </row>
    <row r="21" spans="1:24" x14ac:dyDescent="0.25">
      <c r="A21">
        <v>5587</v>
      </c>
      <c r="B21" t="s">
        <v>62</v>
      </c>
      <c r="C21" t="s">
        <v>1</v>
      </c>
      <c r="D21">
        <v>44</v>
      </c>
      <c r="E21" t="s">
        <v>38</v>
      </c>
      <c r="F21" t="s">
        <v>58</v>
      </c>
      <c r="G21" t="s">
        <v>50</v>
      </c>
      <c r="H21" t="s">
        <v>30</v>
      </c>
      <c r="I21" t="s">
        <v>63</v>
      </c>
      <c r="J21" t="s">
        <v>64</v>
      </c>
      <c r="K21">
        <f ca="1">YEAR(TODAY()) - YEAR(RawData[Date of Hire])</f>
        <v>4</v>
      </c>
      <c r="L21">
        <f ca="1">DATEDIF(RawData[Date of Hire], TODAY(), "M")</f>
        <v>43</v>
      </c>
      <c r="M21" t="s">
        <v>8</v>
      </c>
      <c r="N21" t="s">
        <v>9</v>
      </c>
      <c r="O21" s="3">
        <v>81235</v>
      </c>
      <c r="P21" t="s">
        <v>43</v>
      </c>
      <c r="Q21">
        <v>6553</v>
      </c>
      <c r="R21" t="s">
        <v>25</v>
      </c>
      <c r="S21">
        <v>16</v>
      </c>
      <c r="T21">
        <v>2</v>
      </c>
      <c r="U21" t="str">
        <f>IF(RawData[Performance Rating] &gt;= 4, "Yes", "No")</f>
        <v>No</v>
      </c>
      <c r="V21" t="s">
        <v>25</v>
      </c>
      <c r="W21" t="s">
        <v>35</v>
      </c>
      <c r="X21" t="s">
        <v>14</v>
      </c>
    </row>
    <row r="22" spans="1:24" x14ac:dyDescent="0.25">
      <c r="A22">
        <v>5742</v>
      </c>
      <c r="B22" t="s">
        <v>189</v>
      </c>
      <c r="C22" t="s">
        <v>1</v>
      </c>
      <c r="D22">
        <v>27</v>
      </c>
      <c r="E22" t="s">
        <v>17</v>
      </c>
      <c r="F22" t="s">
        <v>3</v>
      </c>
      <c r="G22" t="s">
        <v>99</v>
      </c>
      <c r="H22" t="s">
        <v>39</v>
      </c>
      <c r="I22" t="s">
        <v>190</v>
      </c>
      <c r="J22" t="s">
        <v>191</v>
      </c>
      <c r="K22">
        <f ca="1">YEAR(TODAY()) - YEAR(RawData[Date of Hire])</f>
        <v>9</v>
      </c>
      <c r="L22">
        <f ca="1">DATEDIF(RawData[Date of Hire], TODAY(), "M")</f>
        <v>102</v>
      </c>
      <c r="M22" t="s">
        <v>8</v>
      </c>
      <c r="N22" t="s">
        <v>23</v>
      </c>
      <c r="O22" s="3">
        <v>33183</v>
      </c>
      <c r="P22" t="s">
        <v>43</v>
      </c>
      <c r="Q22">
        <v>1659</v>
      </c>
      <c r="R22" t="s">
        <v>25</v>
      </c>
      <c r="S22">
        <v>11</v>
      </c>
      <c r="T22">
        <v>1</v>
      </c>
      <c r="U22" t="str">
        <f>IF(RawData[Performance Rating] &gt;= 4, "Yes", "No")</f>
        <v>No</v>
      </c>
      <c r="V22" t="s">
        <v>12</v>
      </c>
      <c r="W22" t="s">
        <v>45</v>
      </c>
      <c r="X22" t="s">
        <v>25</v>
      </c>
    </row>
    <row r="23" spans="1:24" x14ac:dyDescent="0.25">
      <c r="A23">
        <v>5760</v>
      </c>
      <c r="B23" t="s">
        <v>186</v>
      </c>
      <c r="C23" t="s">
        <v>1</v>
      </c>
      <c r="D23">
        <v>59</v>
      </c>
      <c r="E23" t="s">
        <v>232</v>
      </c>
      <c r="F23" t="s">
        <v>28</v>
      </c>
      <c r="G23" t="s">
        <v>19</v>
      </c>
      <c r="H23" t="s">
        <v>5</v>
      </c>
      <c r="I23" t="s">
        <v>187</v>
      </c>
      <c r="J23" t="s">
        <v>188</v>
      </c>
      <c r="K23">
        <f ca="1">YEAR(TODAY()) - YEAR(RawData[Date of Hire])</f>
        <v>6</v>
      </c>
      <c r="L23">
        <f ca="1">DATEDIF(RawData[Date of Hire], TODAY(), "M")</f>
        <v>62</v>
      </c>
      <c r="M23" t="s">
        <v>8</v>
      </c>
      <c r="N23" t="s">
        <v>23</v>
      </c>
      <c r="O23" s="3">
        <v>34927</v>
      </c>
      <c r="P23" t="s">
        <v>34</v>
      </c>
      <c r="Q23">
        <v>6996</v>
      </c>
      <c r="R23" t="s">
        <v>44</v>
      </c>
      <c r="S23">
        <v>16</v>
      </c>
      <c r="T23">
        <v>1</v>
      </c>
      <c r="U23" t="str">
        <f>IF(RawData[Performance Rating] &gt;= 4, "Yes", "No")</f>
        <v>No</v>
      </c>
      <c r="V23" t="s">
        <v>26</v>
      </c>
      <c r="W23" t="s">
        <v>13</v>
      </c>
      <c r="X23" t="s">
        <v>14</v>
      </c>
    </row>
    <row r="24" spans="1:24" x14ac:dyDescent="0.25">
      <c r="A24">
        <v>5763</v>
      </c>
      <c r="B24" t="s">
        <v>129</v>
      </c>
      <c r="C24" t="s">
        <v>16</v>
      </c>
      <c r="D24">
        <v>44</v>
      </c>
      <c r="E24" t="s">
        <v>38</v>
      </c>
      <c r="F24" t="s">
        <v>18</v>
      </c>
      <c r="G24" t="s">
        <v>29</v>
      </c>
      <c r="H24" t="s">
        <v>20</v>
      </c>
      <c r="I24" t="s">
        <v>130</v>
      </c>
      <c r="J24" t="s">
        <v>131</v>
      </c>
      <c r="K24">
        <f ca="1">YEAR(TODAY()) - YEAR(RawData[Date of Hire])</f>
        <v>5</v>
      </c>
      <c r="L24">
        <f ca="1">DATEDIF(RawData[Date of Hire], TODAY(), "M")</f>
        <v>50</v>
      </c>
      <c r="M24" t="s">
        <v>89</v>
      </c>
      <c r="N24" t="s">
        <v>23</v>
      </c>
      <c r="O24" s="3">
        <v>98961</v>
      </c>
      <c r="P24" t="s">
        <v>34</v>
      </c>
      <c r="Q24">
        <v>2688</v>
      </c>
      <c r="R24" t="s">
        <v>11</v>
      </c>
      <c r="S24">
        <v>2</v>
      </c>
      <c r="T24">
        <v>5</v>
      </c>
      <c r="U24" t="str">
        <f>IF(RawData[Performance Rating] &gt;= 4, "Yes", "No")</f>
        <v>Yes</v>
      </c>
      <c r="V24" t="s">
        <v>26</v>
      </c>
      <c r="W24" t="s">
        <v>74</v>
      </c>
      <c r="X24" t="s">
        <v>14</v>
      </c>
    </row>
    <row r="25" spans="1:24" x14ac:dyDescent="0.25">
      <c r="A25">
        <v>5827</v>
      </c>
      <c r="B25" t="s">
        <v>86</v>
      </c>
      <c r="C25" t="s">
        <v>16</v>
      </c>
      <c r="D25">
        <v>57</v>
      </c>
      <c r="E25" t="s">
        <v>232</v>
      </c>
      <c r="F25" t="s">
        <v>28</v>
      </c>
      <c r="G25" t="s">
        <v>29</v>
      </c>
      <c r="H25" t="s">
        <v>20</v>
      </c>
      <c r="I25" t="s">
        <v>87</v>
      </c>
      <c r="J25" t="s">
        <v>88</v>
      </c>
      <c r="K25">
        <f ca="1">YEAR(TODAY()) - YEAR(RawData[Date of Hire])</f>
        <v>8</v>
      </c>
      <c r="L25">
        <f ca="1">DATEDIF(RawData[Date of Hire], TODAY(), "M")</f>
        <v>86</v>
      </c>
      <c r="M25" t="s">
        <v>89</v>
      </c>
      <c r="N25" t="s">
        <v>33</v>
      </c>
      <c r="O25" s="3">
        <v>96429</v>
      </c>
      <c r="P25" t="s">
        <v>10</v>
      </c>
      <c r="Q25">
        <v>4740</v>
      </c>
      <c r="R25" t="s">
        <v>25</v>
      </c>
      <c r="S25">
        <v>8</v>
      </c>
      <c r="T25">
        <v>1</v>
      </c>
      <c r="U25" t="str">
        <f>IF(RawData[Performance Rating] &gt;= 4, "Yes", "No")</f>
        <v>No</v>
      </c>
      <c r="V25" t="s">
        <v>26</v>
      </c>
      <c r="W25" t="s">
        <v>45</v>
      </c>
      <c r="X25" t="s">
        <v>25</v>
      </c>
    </row>
    <row r="26" spans="1:24" x14ac:dyDescent="0.25">
      <c r="A26">
        <v>5874</v>
      </c>
      <c r="B26" t="s">
        <v>37</v>
      </c>
      <c r="C26" t="s">
        <v>1</v>
      </c>
      <c r="D26">
        <v>35</v>
      </c>
      <c r="E26" t="s">
        <v>17</v>
      </c>
      <c r="F26" t="s">
        <v>80</v>
      </c>
      <c r="G26" t="s">
        <v>50</v>
      </c>
      <c r="H26" t="s">
        <v>5</v>
      </c>
      <c r="I26" t="s">
        <v>93</v>
      </c>
      <c r="J26" t="s">
        <v>94</v>
      </c>
      <c r="K26">
        <f ca="1">YEAR(TODAY()) - YEAR(RawData[Date of Hire])</f>
        <v>6</v>
      </c>
      <c r="L26">
        <f ca="1">DATEDIF(RawData[Date of Hire], TODAY(), "M")</f>
        <v>71</v>
      </c>
      <c r="M26" t="s">
        <v>89</v>
      </c>
      <c r="N26" t="s">
        <v>9</v>
      </c>
      <c r="O26" s="3">
        <v>75065</v>
      </c>
      <c r="P26" t="s">
        <v>10</v>
      </c>
      <c r="Q26">
        <v>7123</v>
      </c>
      <c r="R26" t="s">
        <v>25</v>
      </c>
      <c r="S26">
        <v>20</v>
      </c>
      <c r="T26">
        <v>2</v>
      </c>
      <c r="U26" t="str">
        <f>IF(RawData[Performance Rating] &gt;= 4, "Yes", "No")</f>
        <v>No</v>
      </c>
      <c r="V26" t="s">
        <v>25</v>
      </c>
      <c r="W26" t="s">
        <v>13</v>
      </c>
      <c r="X26" t="s">
        <v>36</v>
      </c>
    </row>
    <row r="27" spans="1:24" x14ac:dyDescent="0.25">
      <c r="A27">
        <v>5979</v>
      </c>
      <c r="B27" t="s">
        <v>111</v>
      </c>
      <c r="C27" t="s">
        <v>1</v>
      </c>
      <c r="D27">
        <v>31</v>
      </c>
      <c r="E27" t="s">
        <v>17</v>
      </c>
      <c r="F27" t="s">
        <v>3</v>
      </c>
      <c r="G27" t="s">
        <v>4</v>
      </c>
      <c r="H27" t="s">
        <v>30</v>
      </c>
      <c r="I27" t="s">
        <v>112</v>
      </c>
      <c r="J27" t="s">
        <v>113</v>
      </c>
      <c r="K27">
        <f ca="1">YEAR(TODAY()) - YEAR(RawData[Date of Hire])</f>
        <v>10</v>
      </c>
      <c r="L27">
        <f ca="1">DATEDIF(RawData[Date of Hire], TODAY(), "M")</f>
        <v>119</v>
      </c>
      <c r="M27" t="s">
        <v>42</v>
      </c>
      <c r="N27" t="s">
        <v>23</v>
      </c>
      <c r="O27" s="3">
        <v>67582</v>
      </c>
      <c r="P27" t="s">
        <v>43</v>
      </c>
      <c r="Q27">
        <v>1375</v>
      </c>
      <c r="R27" t="s">
        <v>11</v>
      </c>
      <c r="S27">
        <v>20</v>
      </c>
      <c r="T27">
        <v>3</v>
      </c>
      <c r="U27" t="str">
        <f>IF(RawData[Performance Rating] &gt;= 4, "Yes", "No")</f>
        <v>No</v>
      </c>
      <c r="V27" t="s">
        <v>26</v>
      </c>
      <c r="W27" t="s">
        <v>35</v>
      </c>
      <c r="X27" t="s">
        <v>25</v>
      </c>
    </row>
    <row r="28" spans="1:24" x14ac:dyDescent="0.25">
      <c r="A28">
        <v>6213</v>
      </c>
      <c r="B28" t="s">
        <v>68</v>
      </c>
      <c r="C28" t="s">
        <v>16</v>
      </c>
      <c r="D28">
        <v>23</v>
      </c>
      <c r="E28" t="s">
        <v>2</v>
      </c>
      <c r="F28" t="s">
        <v>58</v>
      </c>
      <c r="G28" t="s">
        <v>4</v>
      </c>
      <c r="H28" t="s">
        <v>30</v>
      </c>
      <c r="I28" t="s">
        <v>69</v>
      </c>
      <c r="J28" t="s">
        <v>70</v>
      </c>
      <c r="K28">
        <f ca="1">YEAR(TODAY()) - YEAR(RawData[Date of Hire])</f>
        <v>8</v>
      </c>
      <c r="L28">
        <f ca="1">DATEDIF(RawData[Date of Hire], TODAY(), "M")</f>
        <v>96</v>
      </c>
      <c r="M28" t="s">
        <v>42</v>
      </c>
      <c r="N28" t="s">
        <v>23</v>
      </c>
      <c r="O28" s="3">
        <v>59359</v>
      </c>
      <c r="P28" t="s">
        <v>43</v>
      </c>
      <c r="Q28">
        <v>9449</v>
      </c>
      <c r="R28" t="s">
        <v>44</v>
      </c>
      <c r="S28">
        <v>20</v>
      </c>
      <c r="T28">
        <v>3</v>
      </c>
      <c r="U28" t="str">
        <f>IF(RawData[Performance Rating] &gt;= 4, "Yes", "No")</f>
        <v>No</v>
      </c>
      <c r="V28" t="s">
        <v>25</v>
      </c>
      <c r="W28" t="s">
        <v>35</v>
      </c>
      <c r="X28" t="s">
        <v>25</v>
      </c>
    </row>
    <row r="29" spans="1:24" x14ac:dyDescent="0.25">
      <c r="A29">
        <v>6357</v>
      </c>
      <c r="B29" t="s">
        <v>171</v>
      </c>
      <c r="C29" t="s">
        <v>1</v>
      </c>
      <c r="D29">
        <v>46</v>
      </c>
      <c r="E29" t="s">
        <v>76</v>
      </c>
      <c r="F29" t="s">
        <v>28</v>
      </c>
      <c r="G29" t="s">
        <v>19</v>
      </c>
      <c r="H29" t="s">
        <v>59</v>
      </c>
      <c r="I29" t="s">
        <v>172</v>
      </c>
      <c r="J29" t="s">
        <v>173</v>
      </c>
      <c r="K29">
        <f ca="1">YEAR(TODAY()) - YEAR(RawData[Date of Hire])</f>
        <v>3</v>
      </c>
      <c r="L29">
        <f ca="1">DATEDIF(RawData[Date of Hire], TODAY(), "M")</f>
        <v>27</v>
      </c>
      <c r="M29" t="s">
        <v>42</v>
      </c>
      <c r="N29" t="s">
        <v>33</v>
      </c>
      <c r="O29" s="3">
        <v>49058</v>
      </c>
      <c r="P29" t="s">
        <v>24</v>
      </c>
      <c r="Q29">
        <v>4396</v>
      </c>
      <c r="R29" t="s">
        <v>25</v>
      </c>
      <c r="S29">
        <v>5</v>
      </c>
      <c r="T29">
        <v>1</v>
      </c>
      <c r="U29" t="str">
        <f>IF(RawData[Performance Rating] &gt;= 4, "Yes", "No")</f>
        <v>No</v>
      </c>
      <c r="V29" t="s">
        <v>25</v>
      </c>
      <c r="W29" t="s">
        <v>53</v>
      </c>
      <c r="X29" t="s">
        <v>25</v>
      </c>
    </row>
    <row r="30" spans="1:24" x14ac:dyDescent="0.25">
      <c r="A30">
        <v>6505</v>
      </c>
      <c r="B30" t="s">
        <v>105</v>
      </c>
      <c r="C30" t="s">
        <v>1</v>
      </c>
      <c r="D30">
        <v>28</v>
      </c>
      <c r="E30" t="s">
        <v>17</v>
      </c>
      <c r="F30" t="s">
        <v>3</v>
      </c>
      <c r="G30" t="s">
        <v>19</v>
      </c>
      <c r="H30" t="s">
        <v>59</v>
      </c>
      <c r="I30" t="s">
        <v>106</v>
      </c>
      <c r="J30" t="s">
        <v>107</v>
      </c>
      <c r="K30">
        <f ca="1">YEAR(TODAY()) - YEAR(RawData[Date of Hire])</f>
        <v>10</v>
      </c>
      <c r="L30">
        <f ca="1">DATEDIF(RawData[Date of Hire], TODAY(), "M")</f>
        <v>114</v>
      </c>
      <c r="M30" t="s">
        <v>8</v>
      </c>
      <c r="N30" t="s">
        <v>23</v>
      </c>
      <c r="O30" s="3">
        <v>73002</v>
      </c>
      <c r="P30" t="s">
        <v>10</v>
      </c>
      <c r="Q30">
        <v>6296</v>
      </c>
      <c r="R30" t="s">
        <v>11</v>
      </c>
      <c r="S30">
        <v>2</v>
      </c>
      <c r="T30">
        <v>5</v>
      </c>
      <c r="U30" t="str">
        <f>IF(RawData[Performance Rating] &gt;= 4, "Yes", "No")</f>
        <v>Yes</v>
      </c>
      <c r="V30" t="s">
        <v>26</v>
      </c>
      <c r="W30" t="s">
        <v>35</v>
      </c>
      <c r="X30" t="s">
        <v>14</v>
      </c>
    </row>
    <row r="31" spans="1:24" x14ac:dyDescent="0.25">
      <c r="A31">
        <v>6838</v>
      </c>
      <c r="B31" t="s">
        <v>132</v>
      </c>
      <c r="C31" t="s">
        <v>16</v>
      </c>
      <c r="D31">
        <v>45</v>
      </c>
      <c r="E31" t="s">
        <v>38</v>
      </c>
      <c r="F31" t="s">
        <v>28</v>
      </c>
      <c r="G31" t="s">
        <v>4</v>
      </c>
      <c r="H31" t="s">
        <v>30</v>
      </c>
      <c r="I31" t="s">
        <v>133</v>
      </c>
      <c r="J31" t="s">
        <v>134</v>
      </c>
      <c r="K31">
        <f ca="1">YEAR(TODAY()) - YEAR(RawData[Date of Hire])</f>
        <v>10</v>
      </c>
      <c r="L31">
        <f ca="1">DATEDIF(RawData[Date of Hire], TODAY(), "M")</f>
        <v>113</v>
      </c>
      <c r="M31" t="s">
        <v>89</v>
      </c>
      <c r="N31" t="s">
        <v>23</v>
      </c>
      <c r="O31" s="3">
        <v>81943</v>
      </c>
      <c r="P31" t="s">
        <v>10</v>
      </c>
      <c r="Q31">
        <v>2255</v>
      </c>
      <c r="R31" t="s">
        <v>11</v>
      </c>
      <c r="S31">
        <v>18</v>
      </c>
      <c r="T31">
        <v>2</v>
      </c>
      <c r="U31" t="str">
        <f>IF(RawData[Performance Rating] &gt;= 4, "Yes", "No")</f>
        <v>No</v>
      </c>
      <c r="V31" t="s">
        <v>25</v>
      </c>
      <c r="W31" t="s">
        <v>45</v>
      </c>
      <c r="X31" t="s">
        <v>14</v>
      </c>
    </row>
    <row r="32" spans="1:24" x14ac:dyDescent="0.25">
      <c r="A32">
        <v>7951</v>
      </c>
      <c r="B32" t="s">
        <v>174</v>
      </c>
      <c r="C32" t="s">
        <v>1</v>
      </c>
      <c r="D32">
        <v>36</v>
      </c>
      <c r="E32" t="s">
        <v>38</v>
      </c>
      <c r="F32" t="s">
        <v>58</v>
      </c>
      <c r="G32" t="s">
        <v>50</v>
      </c>
      <c r="H32" t="s">
        <v>59</v>
      </c>
      <c r="I32" t="s">
        <v>175</v>
      </c>
      <c r="J32" t="s">
        <v>176</v>
      </c>
      <c r="K32">
        <f ca="1">YEAR(TODAY()) - YEAR(RawData[Date of Hire])</f>
        <v>9</v>
      </c>
      <c r="L32">
        <f ca="1">DATEDIF(RawData[Date of Hire], TODAY(), "M")</f>
        <v>108</v>
      </c>
      <c r="M32" t="s">
        <v>42</v>
      </c>
      <c r="N32" t="s">
        <v>9</v>
      </c>
      <c r="O32" s="3">
        <v>98612</v>
      </c>
      <c r="P32" t="s">
        <v>43</v>
      </c>
      <c r="Q32">
        <v>1168</v>
      </c>
      <c r="R32" t="s">
        <v>25</v>
      </c>
      <c r="S32">
        <v>9</v>
      </c>
      <c r="T32">
        <v>2</v>
      </c>
      <c r="U32" t="str">
        <f>IF(RawData[Performance Rating] &gt;= 4, "Yes", "No")</f>
        <v>No</v>
      </c>
      <c r="V32" t="s">
        <v>26</v>
      </c>
      <c r="W32" t="s">
        <v>13</v>
      </c>
      <c r="X32" t="s">
        <v>14</v>
      </c>
    </row>
    <row r="33" spans="1:24" x14ac:dyDescent="0.25">
      <c r="A33">
        <v>8012</v>
      </c>
      <c r="B33" t="s">
        <v>138</v>
      </c>
      <c r="C33" t="s">
        <v>1</v>
      </c>
      <c r="D33">
        <v>52</v>
      </c>
      <c r="E33" t="s">
        <v>76</v>
      </c>
      <c r="F33" t="s">
        <v>3</v>
      </c>
      <c r="G33" t="s">
        <v>4</v>
      </c>
      <c r="H33" t="s">
        <v>59</v>
      </c>
      <c r="I33" t="s">
        <v>139</v>
      </c>
      <c r="J33" t="s">
        <v>140</v>
      </c>
      <c r="K33">
        <f ca="1">YEAR(TODAY()) - YEAR(RawData[Date of Hire])</f>
        <v>7</v>
      </c>
      <c r="L33">
        <f ca="1">DATEDIF(RawData[Date of Hire], TODAY(), "M")</f>
        <v>78</v>
      </c>
      <c r="M33" t="s">
        <v>89</v>
      </c>
      <c r="N33" t="s">
        <v>23</v>
      </c>
      <c r="O33" s="3">
        <v>56162</v>
      </c>
      <c r="P33" t="s">
        <v>34</v>
      </c>
      <c r="Q33">
        <v>6560</v>
      </c>
      <c r="R33" t="s">
        <v>44</v>
      </c>
      <c r="S33">
        <v>9</v>
      </c>
      <c r="T33">
        <v>4</v>
      </c>
      <c r="U33" t="str">
        <f>IF(RawData[Performance Rating] &gt;= 4, "Yes", "No")</f>
        <v>Yes</v>
      </c>
      <c r="V33" t="s">
        <v>26</v>
      </c>
      <c r="W33" t="s">
        <v>53</v>
      </c>
      <c r="X33" t="s">
        <v>25</v>
      </c>
    </row>
    <row r="34" spans="1:24" x14ac:dyDescent="0.25">
      <c r="A34">
        <v>8029</v>
      </c>
      <c r="B34" t="s">
        <v>156</v>
      </c>
      <c r="C34" t="s">
        <v>1</v>
      </c>
      <c r="D34">
        <v>57</v>
      </c>
      <c r="E34" t="s">
        <v>232</v>
      </c>
      <c r="F34" t="s">
        <v>58</v>
      </c>
      <c r="G34" t="s">
        <v>99</v>
      </c>
      <c r="H34" t="s">
        <v>59</v>
      </c>
      <c r="I34" t="s">
        <v>157</v>
      </c>
      <c r="J34" t="s">
        <v>158</v>
      </c>
      <c r="K34">
        <f ca="1">YEAR(TODAY()) - YEAR(RawData[Date of Hire])</f>
        <v>8</v>
      </c>
      <c r="L34">
        <f ca="1">DATEDIF(RawData[Date of Hire], TODAY(), "M")</f>
        <v>92</v>
      </c>
      <c r="M34" t="s">
        <v>89</v>
      </c>
      <c r="N34" t="s">
        <v>23</v>
      </c>
      <c r="O34" s="3">
        <v>34109</v>
      </c>
      <c r="P34" t="s">
        <v>24</v>
      </c>
      <c r="Q34">
        <v>9232</v>
      </c>
      <c r="R34" t="s">
        <v>11</v>
      </c>
      <c r="S34">
        <v>13</v>
      </c>
      <c r="T34">
        <v>3</v>
      </c>
      <c r="U34" t="str">
        <f>IF(RawData[Performance Rating] &gt;= 4, "Yes", "No")</f>
        <v>No</v>
      </c>
      <c r="V34" t="s">
        <v>12</v>
      </c>
      <c r="W34" t="s">
        <v>13</v>
      </c>
      <c r="X34" t="s">
        <v>14</v>
      </c>
    </row>
    <row r="35" spans="1:24" x14ac:dyDescent="0.25">
      <c r="A35">
        <v>8071</v>
      </c>
      <c r="B35" t="s">
        <v>37</v>
      </c>
      <c r="C35" t="s">
        <v>1</v>
      </c>
      <c r="D35">
        <v>41</v>
      </c>
      <c r="E35" t="s">
        <v>38</v>
      </c>
      <c r="F35" t="s">
        <v>28</v>
      </c>
      <c r="G35" t="s">
        <v>4</v>
      </c>
      <c r="H35" t="s">
        <v>39</v>
      </c>
      <c r="I35" t="s">
        <v>40</v>
      </c>
      <c r="J35" t="s">
        <v>41</v>
      </c>
      <c r="K35">
        <f ca="1">YEAR(TODAY()) - YEAR(RawData[Date of Hire])</f>
        <v>1</v>
      </c>
      <c r="L35">
        <f ca="1">DATEDIF(RawData[Date of Hire], TODAY(), "M")</f>
        <v>5</v>
      </c>
      <c r="M35" t="s">
        <v>42</v>
      </c>
      <c r="N35" t="s">
        <v>9</v>
      </c>
      <c r="O35" s="3">
        <v>62993</v>
      </c>
      <c r="P35" t="s">
        <v>43</v>
      </c>
      <c r="Q35">
        <v>2695</v>
      </c>
      <c r="R35" t="s">
        <v>44</v>
      </c>
      <c r="S35">
        <v>0</v>
      </c>
      <c r="T35">
        <v>2</v>
      </c>
      <c r="U35" t="str">
        <f>IF(RawData[Performance Rating] &gt;= 4, "Yes", "No")</f>
        <v>No</v>
      </c>
      <c r="V35" t="s">
        <v>25</v>
      </c>
      <c r="W35" t="s">
        <v>45</v>
      </c>
      <c r="X35" t="s">
        <v>25</v>
      </c>
    </row>
    <row r="36" spans="1:24" x14ac:dyDescent="0.25">
      <c r="A36">
        <v>8256</v>
      </c>
      <c r="B36" t="s">
        <v>126</v>
      </c>
      <c r="C36" t="s">
        <v>16</v>
      </c>
      <c r="D36">
        <v>46</v>
      </c>
      <c r="E36" t="s">
        <v>76</v>
      </c>
      <c r="F36" t="s">
        <v>58</v>
      </c>
      <c r="G36" t="s">
        <v>4</v>
      </c>
      <c r="H36" t="s">
        <v>39</v>
      </c>
      <c r="I36" t="s">
        <v>127</v>
      </c>
      <c r="J36" t="s">
        <v>128</v>
      </c>
      <c r="K36">
        <f ca="1">YEAR(TODAY()) - YEAR(RawData[Date of Hire])</f>
        <v>8</v>
      </c>
      <c r="L36">
        <f ca="1">DATEDIF(RawData[Date of Hire], TODAY(), "M")</f>
        <v>92</v>
      </c>
      <c r="M36" t="s">
        <v>8</v>
      </c>
      <c r="N36" t="s">
        <v>23</v>
      </c>
      <c r="O36" s="3">
        <v>52020</v>
      </c>
      <c r="P36" t="s">
        <v>24</v>
      </c>
      <c r="Q36">
        <v>9585</v>
      </c>
      <c r="R36" t="s">
        <v>44</v>
      </c>
      <c r="S36">
        <v>0</v>
      </c>
      <c r="T36">
        <v>4</v>
      </c>
      <c r="U36" t="str">
        <f>IF(RawData[Performance Rating] &gt;= 4, "Yes", "No")</f>
        <v>Yes</v>
      </c>
      <c r="V36" t="s">
        <v>26</v>
      </c>
      <c r="W36" t="s">
        <v>74</v>
      </c>
      <c r="X36" t="s">
        <v>25</v>
      </c>
    </row>
    <row r="37" spans="1:24" x14ac:dyDescent="0.25">
      <c r="A37">
        <v>8445</v>
      </c>
      <c r="B37" t="s">
        <v>147</v>
      </c>
      <c r="C37" t="s">
        <v>1</v>
      </c>
      <c r="D37">
        <v>24</v>
      </c>
      <c r="E37" t="s">
        <v>2</v>
      </c>
      <c r="F37" t="s">
        <v>80</v>
      </c>
      <c r="G37" t="s">
        <v>4</v>
      </c>
      <c r="H37" t="s">
        <v>39</v>
      </c>
      <c r="I37" t="s">
        <v>148</v>
      </c>
      <c r="J37" t="s">
        <v>149</v>
      </c>
      <c r="K37">
        <f ca="1">YEAR(TODAY()) - YEAR(RawData[Date of Hire])</f>
        <v>9</v>
      </c>
      <c r="L37">
        <f ca="1">DATEDIF(RawData[Date of Hire], TODAY(), "M")</f>
        <v>98</v>
      </c>
      <c r="M37" t="s">
        <v>8</v>
      </c>
      <c r="N37" t="s">
        <v>33</v>
      </c>
      <c r="O37" s="3">
        <v>30137</v>
      </c>
      <c r="P37" t="s">
        <v>24</v>
      </c>
      <c r="Q37">
        <v>4031</v>
      </c>
      <c r="R37" t="s">
        <v>25</v>
      </c>
      <c r="S37">
        <v>5</v>
      </c>
      <c r="T37">
        <v>3</v>
      </c>
      <c r="U37" t="str">
        <f>IF(RawData[Performance Rating] &gt;= 4, "Yes", "No")</f>
        <v>No</v>
      </c>
      <c r="V37" t="s">
        <v>25</v>
      </c>
      <c r="W37" t="s">
        <v>35</v>
      </c>
      <c r="X37" t="s">
        <v>14</v>
      </c>
    </row>
    <row r="38" spans="1:24" x14ac:dyDescent="0.25">
      <c r="A38">
        <v>8626</v>
      </c>
      <c r="B38" t="s">
        <v>108</v>
      </c>
      <c r="C38" t="s">
        <v>16</v>
      </c>
      <c r="D38">
        <v>37</v>
      </c>
      <c r="E38" t="s">
        <v>38</v>
      </c>
      <c r="F38" t="s">
        <v>58</v>
      </c>
      <c r="G38" t="s">
        <v>19</v>
      </c>
      <c r="H38" t="s">
        <v>39</v>
      </c>
      <c r="I38" t="s">
        <v>109</v>
      </c>
      <c r="J38" t="s">
        <v>110</v>
      </c>
      <c r="K38">
        <f ca="1">YEAR(TODAY()) - YEAR(RawData[Date of Hire])</f>
        <v>10</v>
      </c>
      <c r="L38">
        <f ca="1">DATEDIF(RawData[Date of Hire], TODAY(), "M")</f>
        <v>112</v>
      </c>
      <c r="M38" t="s">
        <v>89</v>
      </c>
      <c r="N38" t="s">
        <v>33</v>
      </c>
      <c r="O38" s="3">
        <v>41653</v>
      </c>
      <c r="P38" t="s">
        <v>34</v>
      </c>
      <c r="Q38">
        <v>9236</v>
      </c>
      <c r="R38" t="s">
        <v>25</v>
      </c>
      <c r="S38">
        <v>13</v>
      </c>
      <c r="T38">
        <v>1</v>
      </c>
      <c r="U38" t="str">
        <f>IF(RawData[Performance Rating] &gt;= 4, "Yes", "No")</f>
        <v>No</v>
      </c>
      <c r="V38" t="s">
        <v>26</v>
      </c>
      <c r="W38" t="s">
        <v>13</v>
      </c>
      <c r="X38" t="s">
        <v>25</v>
      </c>
    </row>
    <row r="39" spans="1:24" x14ac:dyDescent="0.25">
      <c r="A39">
        <v>8847</v>
      </c>
      <c r="B39" t="s">
        <v>159</v>
      </c>
      <c r="C39" t="s">
        <v>16</v>
      </c>
      <c r="D39">
        <v>41</v>
      </c>
      <c r="E39" t="s">
        <v>38</v>
      </c>
      <c r="F39" t="s">
        <v>58</v>
      </c>
      <c r="G39" t="s">
        <v>50</v>
      </c>
      <c r="H39" t="s">
        <v>5</v>
      </c>
      <c r="I39" t="s">
        <v>160</v>
      </c>
      <c r="J39" t="s">
        <v>161</v>
      </c>
      <c r="K39">
        <f ca="1">YEAR(TODAY()) - YEAR(RawData[Date of Hire])</f>
        <v>3</v>
      </c>
      <c r="L39">
        <f ca="1">DATEDIF(RawData[Date of Hire], TODAY(), "M")</f>
        <v>36</v>
      </c>
      <c r="M39" t="s">
        <v>89</v>
      </c>
      <c r="N39" t="s">
        <v>33</v>
      </c>
      <c r="O39" s="3">
        <v>73330</v>
      </c>
      <c r="P39" t="s">
        <v>10</v>
      </c>
      <c r="Q39">
        <v>2276</v>
      </c>
      <c r="R39" t="s">
        <v>44</v>
      </c>
      <c r="S39">
        <v>5</v>
      </c>
      <c r="T39">
        <v>1</v>
      </c>
      <c r="U39" t="str">
        <f>IF(RawData[Performance Rating] &gt;= 4, "Yes", "No")</f>
        <v>No</v>
      </c>
      <c r="V39" t="s">
        <v>25</v>
      </c>
      <c r="W39" t="s">
        <v>35</v>
      </c>
      <c r="X39" t="s">
        <v>36</v>
      </c>
    </row>
    <row r="40" spans="1:24" x14ac:dyDescent="0.25">
      <c r="A40">
        <v>8967</v>
      </c>
      <c r="B40" t="s">
        <v>117</v>
      </c>
      <c r="C40" t="s">
        <v>1</v>
      </c>
      <c r="D40">
        <v>48</v>
      </c>
      <c r="E40" t="s">
        <v>76</v>
      </c>
      <c r="F40" t="s">
        <v>80</v>
      </c>
      <c r="G40" t="s">
        <v>29</v>
      </c>
      <c r="H40" t="s">
        <v>5</v>
      </c>
      <c r="I40" t="s">
        <v>118</v>
      </c>
      <c r="J40" t="s">
        <v>119</v>
      </c>
      <c r="K40">
        <f ca="1">YEAR(TODAY()) - YEAR(RawData[Date of Hire])</f>
        <v>8</v>
      </c>
      <c r="L40">
        <f ca="1">DATEDIF(RawData[Date of Hire], TODAY(), "M")</f>
        <v>95</v>
      </c>
      <c r="M40" t="s">
        <v>8</v>
      </c>
      <c r="N40" t="s">
        <v>23</v>
      </c>
      <c r="O40" s="3">
        <v>36721</v>
      </c>
      <c r="P40" t="s">
        <v>24</v>
      </c>
      <c r="Q40">
        <v>8820</v>
      </c>
      <c r="R40" t="s">
        <v>44</v>
      </c>
      <c r="S40">
        <v>0</v>
      </c>
      <c r="T40">
        <v>2</v>
      </c>
      <c r="U40" t="str">
        <f>IF(RawData[Performance Rating] &gt;= 4, "Yes", "No")</f>
        <v>No</v>
      </c>
      <c r="V40" t="s">
        <v>26</v>
      </c>
      <c r="W40" t="s">
        <v>35</v>
      </c>
      <c r="X40" t="s">
        <v>14</v>
      </c>
    </row>
    <row r="41" spans="1:24" x14ac:dyDescent="0.25">
      <c r="A41">
        <v>8988</v>
      </c>
      <c r="B41" t="s">
        <v>180</v>
      </c>
      <c r="C41" t="s">
        <v>16</v>
      </c>
      <c r="D41">
        <v>25</v>
      </c>
      <c r="E41" t="s">
        <v>2</v>
      </c>
      <c r="F41" t="s">
        <v>3</v>
      </c>
      <c r="G41" t="s">
        <v>4</v>
      </c>
      <c r="H41" t="s">
        <v>30</v>
      </c>
      <c r="I41" t="s">
        <v>181</v>
      </c>
      <c r="J41" t="s">
        <v>182</v>
      </c>
      <c r="K41">
        <f ca="1">YEAR(TODAY()) - YEAR(RawData[Date of Hire])</f>
        <v>1</v>
      </c>
      <c r="L41">
        <f ca="1">DATEDIF(RawData[Date of Hire], TODAY(), "M")</f>
        <v>11</v>
      </c>
      <c r="M41" t="s">
        <v>89</v>
      </c>
      <c r="N41" t="s">
        <v>23</v>
      </c>
      <c r="O41" s="3">
        <v>92919</v>
      </c>
      <c r="P41" t="s">
        <v>34</v>
      </c>
      <c r="Q41">
        <v>9497</v>
      </c>
      <c r="R41" t="s">
        <v>11</v>
      </c>
      <c r="S41">
        <v>7</v>
      </c>
      <c r="T41">
        <v>2</v>
      </c>
      <c r="U41" t="str">
        <f>IF(RawData[Performance Rating] &gt;= 4, "Yes", "No")</f>
        <v>No</v>
      </c>
      <c r="V41" t="s">
        <v>25</v>
      </c>
      <c r="W41" t="s">
        <v>53</v>
      </c>
      <c r="X41" t="s">
        <v>36</v>
      </c>
    </row>
    <row r="42" spans="1:24" x14ac:dyDescent="0.25">
      <c r="A42">
        <v>9105</v>
      </c>
      <c r="B42" t="s">
        <v>71</v>
      </c>
      <c r="C42" t="s">
        <v>16</v>
      </c>
      <c r="D42">
        <v>30</v>
      </c>
      <c r="E42" t="s">
        <v>17</v>
      </c>
      <c r="F42" t="s">
        <v>3</v>
      </c>
      <c r="G42" t="s">
        <v>19</v>
      </c>
      <c r="H42" t="s">
        <v>5</v>
      </c>
      <c r="I42" t="s">
        <v>72</v>
      </c>
      <c r="J42" t="s">
        <v>73</v>
      </c>
      <c r="K42">
        <f ca="1">YEAR(TODAY()) - YEAR(RawData[Date of Hire])</f>
        <v>1</v>
      </c>
      <c r="L42">
        <f ca="1">DATEDIF(RawData[Date of Hire], TODAY(), "M")</f>
        <v>9</v>
      </c>
      <c r="M42" t="s">
        <v>42</v>
      </c>
      <c r="N42" t="s">
        <v>33</v>
      </c>
      <c r="O42" s="3">
        <v>81225</v>
      </c>
      <c r="P42" t="s">
        <v>34</v>
      </c>
      <c r="Q42">
        <v>6202</v>
      </c>
      <c r="R42" t="s">
        <v>44</v>
      </c>
      <c r="S42">
        <v>2</v>
      </c>
      <c r="T42">
        <v>2</v>
      </c>
      <c r="U42" t="str">
        <f>IF(RawData[Performance Rating] &gt;= 4, "Yes", "No")</f>
        <v>No</v>
      </c>
      <c r="V42" t="s">
        <v>26</v>
      </c>
      <c r="W42" t="s">
        <v>74</v>
      </c>
      <c r="X42" t="s">
        <v>14</v>
      </c>
    </row>
    <row r="43" spans="1:24" x14ac:dyDescent="0.25">
      <c r="A43">
        <v>9116</v>
      </c>
      <c r="B43" t="s">
        <v>15</v>
      </c>
      <c r="C43" t="s">
        <v>16</v>
      </c>
      <c r="D43">
        <v>27</v>
      </c>
      <c r="E43" t="s">
        <v>17</v>
      </c>
      <c r="F43" t="s">
        <v>18</v>
      </c>
      <c r="G43" t="s">
        <v>29</v>
      </c>
      <c r="H43" t="s">
        <v>20</v>
      </c>
      <c r="I43" t="s">
        <v>21</v>
      </c>
      <c r="J43" t="s">
        <v>22</v>
      </c>
      <c r="K43">
        <f ca="1">YEAR(TODAY()) - YEAR(RawData[Date of Hire])</f>
        <v>3</v>
      </c>
      <c r="L43">
        <f ca="1">DATEDIF(RawData[Date of Hire], TODAY(), "M")</f>
        <v>26</v>
      </c>
      <c r="M43" t="s">
        <v>8</v>
      </c>
      <c r="N43" t="s">
        <v>23</v>
      </c>
      <c r="O43" s="3">
        <v>91091</v>
      </c>
      <c r="P43" t="s">
        <v>24</v>
      </c>
      <c r="Q43">
        <v>1024</v>
      </c>
      <c r="R43" t="s">
        <v>25</v>
      </c>
      <c r="S43">
        <v>19</v>
      </c>
      <c r="T43">
        <v>4</v>
      </c>
      <c r="U43" t="str">
        <f>IF(RawData[Performance Rating] &gt;= 4, "Yes", "No")</f>
        <v>Yes</v>
      </c>
      <c r="V43" t="s">
        <v>26</v>
      </c>
      <c r="W43" t="s">
        <v>13</v>
      </c>
      <c r="X43" t="s">
        <v>14</v>
      </c>
    </row>
    <row r="44" spans="1:24" x14ac:dyDescent="0.25">
      <c r="A44">
        <v>9228</v>
      </c>
      <c r="B44" t="s">
        <v>177</v>
      </c>
      <c r="C44" t="s">
        <v>16</v>
      </c>
      <c r="D44">
        <v>41</v>
      </c>
      <c r="E44" t="s">
        <v>38</v>
      </c>
      <c r="F44" t="s">
        <v>80</v>
      </c>
      <c r="G44" t="s">
        <v>29</v>
      </c>
      <c r="H44" t="s">
        <v>20</v>
      </c>
      <c r="I44" t="s">
        <v>178</v>
      </c>
      <c r="J44" t="s">
        <v>179</v>
      </c>
      <c r="K44">
        <f ca="1">YEAR(TODAY()) - YEAR(RawData[Date of Hire])</f>
        <v>7</v>
      </c>
      <c r="L44">
        <f ca="1">DATEDIF(RawData[Date of Hire], TODAY(), "M")</f>
        <v>81</v>
      </c>
      <c r="M44" t="s">
        <v>89</v>
      </c>
      <c r="N44" t="s">
        <v>23</v>
      </c>
      <c r="O44" s="3">
        <v>38201</v>
      </c>
      <c r="P44" t="s">
        <v>43</v>
      </c>
      <c r="Q44">
        <v>7111</v>
      </c>
      <c r="R44" t="s">
        <v>11</v>
      </c>
      <c r="S44">
        <v>8</v>
      </c>
      <c r="T44">
        <v>4</v>
      </c>
      <c r="U44" t="str">
        <f>IF(RawData[Performance Rating] &gt;= 4, "Yes", "No")</f>
        <v>Yes</v>
      </c>
      <c r="V44" t="s">
        <v>12</v>
      </c>
      <c r="W44" t="s">
        <v>53</v>
      </c>
      <c r="X44" t="s">
        <v>25</v>
      </c>
    </row>
    <row r="45" spans="1:24" x14ac:dyDescent="0.25">
      <c r="A45">
        <v>9351</v>
      </c>
      <c r="B45" t="s">
        <v>46</v>
      </c>
      <c r="C45" t="s">
        <v>16</v>
      </c>
      <c r="D45">
        <v>56</v>
      </c>
      <c r="E45" t="s">
        <v>232</v>
      </c>
      <c r="F45" t="s">
        <v>3</v>
      </c>
      <c r="G45" t="s">
        <v>4</v>
      </c>
      <c r="H45" t="s">
        <v>30</v>
      </c>
      <c r="I45" t="s">
        <v>47</v>
      </c>
      <c r="J45" t="s">
        <v>48</v>
      </c>
      <c r="K45">
        <f ca="1">YEAR(TODAY()) - YEAR(RawData[Date of Hire])</f>
        <v>6</v>
      </c>
      <c r="L45">
        <f ca="1">DATEDIF(RawData[Date of Hire], TODAY(), "M")</f>
        <v>71</v>
      </c>
      <c r="M45" t="s">
        <v>42</v>
      </c>
      <c r="N45" t="s">
        <v>23</v>
      </c>
      <c r="O45" s="3">
        <v>45773</v>
      </c>
      <c r="P45" t="s">
        <v>43</v>
      </c>
      <c r="Q45">
        <v>8776</v>
      </c>
      <c r="R45" t="s">
        <v>11</v>
      </c>
      <c r="S45">
        <v>16</v>
      </c>
      <c r="T45">
        <v>4</v>
      </c>
      <c r="U45" t="str">
        <f>IF(RawData[Performance Rating] &gt;= 4, "Yes", "No")</f>
        <v>Yes</v>
      </c>
      <c r="V45" t="s">
        <v>12</v>
      </c>
      <c r="W45" t="s">
        <v>45</v>
      </c>
      <c r="X45" t="s">
        <v>25</v>
      </c>
    </row>
    <row r="46" spans="1:24" x14ac:dyDescent="0.25">
      <c r="A46">
        <v>9374</v>
      </c>
      <c r="B46" t="s">
        <v>141</v>
      </c>
      <c r="C46" t="s">
        <v>1</v>
      </c>
      <c r="D46">
        <v>42</v>
      </c>
      <c r="E46" t="s">
        <v>38</v>
      </c>
      <c r="F46" t="s">
        <v>18</v>
      </c>
      <c r="G46" t="s">
        <v>4</v>
      </c>
      <c r="H46" t="s">
        <v>30</v>
      </c>
      <c r="I46" t="s">
        <v>142</v>
      </c>
      <c r="J46" t="s">
        <v>143</v>
      </c>
      <c r="K46">
        <f ca="1">YEAR(TODAY()) - YEAR(RawData[Date of Hire])</f>
        <v>2</v>
      </c>
      <c r="L46">
        <f ca="1">DATEDIF(RawData[Date of Hire], TODAY(), "M")</f>
        <v>19</v>
      </c>
      <c r="M46" t="s">
        <v>42</v>
      </c>
      <c r="N46" t="s">
        <v>33</v>
      </c>
      <c r="O46" s="3">
        <v>95734</v>
      </c>
      <c r="P46" t="s">
        <v>10</v>
      </c>
      <c r="Q46">
        <v>4854</v>
      </c>
      <c r="R46" t="s">
        <v>11</v>
      </c>
      <c r="S46">
        <v>13</v>
      </c>
      <c r="T46">
        <v>2</v>
      </c>
      <c r="U46" t="str">
        <f>IF(RawData[Performance Rating] &gt;= 4, "Yes", "No")</f>
        <v>No</v>
      </c>
      <c r="V46" t="s">
        <v>12</v>
      </c>
      <c r="W46" t="s">
        <v>13</v>
      </c>
      <c r="X46" t="s">
        <v>14</v>
      </c>
    </row>
    <row r="47" spans="1:24" x14ac:dyDescent="0.25">
      <c r="A47">
        <v>9508</v>
      </c>
      <c r="B47" t="s">
        <v>75</v>
      </c>
      <c r="C47" t="s">
        <v>1</v>
      </c>
      <c r="D47">
        <v>49</v>
      </c>
      <c r="E47" t="s">
        <v>76</v>
      </c>
      <c r="F47" t="s">
        <v>18</v>
      </c>
      <c r="G47" t="s">
        <v>4</v>
      </c>
      <c r="H47" t="s">
        <v>5</v>
      </c>
      <c r="I47" t="s">
        <v>77</v>
      </c>
      <c r="J47" t="s">
        <v>78</v>
      </c>
      <c r="K47">
        <f ca="1">YEAR(TODAY()) - YEAR(RawData[Date of Hire])</f>
        <v>3</v>
      </c>
      <c r="L47">
        <f ca="1">DATEDIF(RawData[Date of Hire], TODAY(), "M")</f>
        <v>34</v>
      </c>
      <c r="M47" t="s">
        <v>42</v>
      </c>
      <c r="N47" t="s">
        <v>9</v>
      </c>
      <c r="O47" s="3">
        <v>32788</v>
      </c>
      <c r="P47" t="s">
        <v>34</v>
      </c>
      <c r="Q47">
        <v>4396</v>
      </c>
      <c r="R47" t="s">
        <v>11</v>
      </c>
      <c r="S47">
        <v>13</v>
      </c>
      <c r="T47">
        <v>5</v>
      </c>
      <c r="U47" t="str">
        <f>IF(RawData[Performance Rating] &gt;= 4, "Yes", "No")</f>
        <v>Yes</v>
      </c>
      <c r="V47" t="s">
        <v>25</v>
      </c>
      <c r="W47" t="s">
        <v>53</v>
      </c>
      <c r="X47" t="s">
        <v>36</v>
      </c>
    </row>
    <row r="48" spans="1:24" x14ac:dyDescent="0.25">
      <c r="A48">
        <v>9544</v>
      </c>
      <c r="B48" t="s">
        <v>135</v>
      </c>
      <c r="C48" t="s">
        <v>16</v>
      </c>
      <c r="D48">
        <v>52</v>
      </c>
      <c r="E48" t="s">
        <v>76</v>
      </c>
      <c r="F48" t="s">
        <v>80</v>
      </c>
      <c r="G48" t="s">
        <v>29</v>
      </c>
      <c r="H48" t="s">
        <v>20</v>
      </c>
      <c r="I48" t="s">
        <v>136</v>
      </c>
      <c r="J48" t="s">
        <v>137</v>
      </c>
      <c r="K48">
        <f ca="1">YEAR(TODAY()) - YEAR(RawData[Date of Hire])</f>
        <v>7</v>
      </c>
      <c r="L48">
        <f ca="1">DATEDIF(RawData[Date of Hire], TODAY(), "M")</f>
        <v>76</v>
      </c>
      <c r="M48" t="s">
        <v>89</v>
      </c>
      <c r="N48" t="s">
        <v>23</v>
      </c>
      <c r="O48" s="3">
        <v>47627</v>
      </c>
      <c r="P48" t="s">
        <v>10</v>
      </c>
      <c r="Q48">
        <v>1221</v>
      </c>
      <c r="R48" t="s">
        <v>25</v>
      </c>
      <c r="S48">
        <v>4</v>
      </c>
      <c r="T48">
        <v>3</v>
      </c>
      <c r="U48" t="str">
        <f>IF(RawData[Performance Rating] &gt;= 4, "Yes", "No")</f>
        <v>No</v>
      </c>
      <c r="V48" t="s">
        <v>25</v>
      </c>
      <c r="W48" t="s">
        <v>35</v>
      </c>
      <c r="X48" t="s">
        <v>25</v>
      </c>
    </row>
    <row r="49" spans="1:24" x14ac:dyDescent="0.25">
      <c r="A49">
        <v>9554</v>
      </c>
      <c r="B49" t="s">
        <v>65</v>
      </c>
      <c r="C49" t="s">
        <v>1</v>
      </c>
      <c r="D49">
        <v>29</v>
      </c>
      <c r="E49" t="s">
        <v>17</v>
      </c>
      <c r="F49" t="s">
        <v>18</v>
      </c>
      <c r="G49" t="s">
        <v>29</v>
      </c>
      <c r="H49" t="s">
        <v>39</v>
      </c>
      <c r="I49" t="s">
        <v>66</v>
      </c>
      <c r="J49" t="s">
        <v>67</v>
      </c>
      <c r="K49">
        <f ca="1">YEAR(TODAY()) - YEAR(RawData[Date of Hire])</f>
        <v>7</v>
      </c>
      <c r="L49">
        <f ca="1">DATEDIF(RawData[Date of Hire], TODAY(), "M")</f>
        <v>81</v>
      </c>
      <c r="M49" t="s">
        <v>8</v>
      </c>
      <c r="N49" t="s">
        <v>23</v>
      </c>
      <c r="O49" s="3">
        <v>87852</v>
      </c>
      <c r="P49" t="s">
        <v>43</v>
      </c>
      <c r="Q49">
        <v>4980</v>
      </c>
      <c r="R49" t="s">
        <v>44</v>
      </c>
      <c r="S49">
        <v>19</v>
      </c>
      <c r="T49">
        <v>3</v>
      </c>
      <c r="U49" t="str">
        <f>IF(RawData[Performance Rating] &gt;= 4, "Yes", "No")</f>
        <v>No</v>
      </c>
      <c r="V49" t="s">
        <v>25</v>
      </c>
      <c r="W49" t="s">
        <v>45</v>
      </c>
      <c r="X49" t="s">
        <v>14</v>
      </c>
    </row>
    <row r="50" spans="1:24" x14ac:dyDescent="0.25">
      <c r="A50">
        <v>9834</v>
      </c>
      <c r="B50" t="s">
        <v>95</v>
      </c>
      <c r="C50" t="s">
        <v>16</v>
      </c>
      <c r="D50">
        <v>41</v>
      </c>
      <c r="E50" t="s">
        <v>38</v>
      </c>
      <c r="F50" t="s">
        <v>18</v>
      </c>
      <c r="G50" t="s">
        <v>19</v>
      </c>
      <c r="H50" t="s">
        <v>59</v>
      </c>
      <c r="I50" t="s">
        <v>96</v>
      </c>
      <c r="J50" t="s">
        <v>97</v>
      </c>
      <c r="K50">
        <f ca="1">YEAR(TODAY()) - YEAR(RawData[Date of Hire])</f>
        <v>3</v>
      </c>
      <c r="L50">
        <f ca="1">DATEDIF(RawData[Date of Hire], TODAY(), "M")</f>
        <v>27</v>
      </c>
      <c r="M50" t="s">
        <v>8</v>
      </c>
      <c r="N50" t="s">
        <v>33</v>
      </c>
      <c r="O50" s="3">
        <v>32877</v>
      </c>
      <c r="P50" t="s">
        <v>10</v>
      </c>
      <c r="Q50">
        <v>6432</v>
      </c>
      <c r="R50" t="s">
        <v>11</v>
      </c>
      <c r="S50">
        <v>11</v>
      </c>
      <c r="T50">
        <v>1</v>
      </c>
      <c r="U50" t="str">
        <f>IF(RawData[Performance Rating] &gt;= 4, "Yes", "No")</f>
        <v>No</v>
      </c>
      <c r="V50" t="s">
        <v>25</v>
      </c>
      <c r="W50" t="s">
        <v>13</v>
      </c>
      <c r="X50" t="s">
        <v>25</v>
      </c>
    </row>
    <row r="51" spans="1:24" x14ac:dyDescent="0.25">
      <c r="A51">
        <v>9968</v>
      </c>
      <c r="B51" t="s">
        <v>153</v>
      </c>
      <c r="C51" t="s">
        <v>16</v>
      </c>
      <c r="D51">
        <v>58</v>
      </c>
      <c r="E51" t="s">
        <v>232</v>
      </c>
      <c r="F51" t="s">
        <v>18</v>
      </c>
      <c r="G51" t="s">
        <v>50</v>
      </c>
      <c r="H51" t="s">
        <v>5</v>
      </c>
      <c r="I51" t="s">
        <v>154</v>
      </c>
      <c r="J51" t="s">
        <v>155</v>
      </c>
      <c r="K51">
        <f ca="1">YEAR(TODAY()) - YEAR(RawData[Date of Hire])</f>
        <v>4</v>
      </c>
      <c r="L51">
        <f ca="1">DATEDIF(RawData[Date of Hire], TODAY(), "M")</f>
        <v>42</v>
      </c>
      <c r="M51" t="s">
        <v>42</v>
      </c>
      <c r="N51" t="s">
        <v>9</v>
      </c>
      <c r="O51" s="3">
        <v>80325</v>
      </c>
      <c r="P51" t="s">
        <v>24</v>
      </c>
      <c r="Q51">
        <v>6230</v>
      </c>
      <c r="R51" t="s">
        <v>11</v>
      </c>
      <c r="S51">
        <v>5</v>
      </c>
      <c r="T51">
        <v>4</v>
      </c>
      <c r="U51" t="str">
        <f>IF(RawData[Performance Rating] &gt;= 4, "Yes", "No")</f>
        <v>Yes</v>
      </c>
      <c r="V51" t="s">
        <v>25</v>
      </c>
      <c r="W51" t="s">
        <v>45</v>
      </c>
      <c r="X51" t="s">
        <v>36</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24</vt:i4>
      </vt:variant>
    </vt:vector>
  </HeadingPairs>
  <TitlesOfParts>
    <vt:vector size="27" baseType="lpstr">
      <vt:lpstr>Dashboard</vt:lpstr>
      <vt:lpstr>PivotTables</vt:lpstr>
      <vt:lpstr>RawData</vt:lpstr>
      <vt:lpstr>Age</vt:lpstr>
      <vt:lpstr>Age_range</vt:lpstr>
      <vt:lpstr>Bonus_Allowances</vt:lpstr>
      <vt:lpstr>Certifications</vt:lpstr>
      <vt:lpstr>Date_of_Hire</vt:lpstr>
      <vt:lpstr>Department</vt:lpstr>
      <vt:lpstr>Employee_ID</vt:lpstr>
      <vt:lpstr>Employment_Status</vt:lpstr>
      <vt:lpstr>Full_Name</vt:lpstr>
      <vt:lpstr>Gender</vt:lpstr>
      <vt:lpstr>Insurance_Details</vt:lpstr>
      <vt:lpstr>Job_Title</vt:lpstr>
      <vt:lpstr>Leave_Taken</vt:lpstr>
      <vt:lpstr>Manager_Supervisor</vt:lpstr>
      <vt:lpstr>Pay_Grade</vt:lpstr>
      <vt:lpstr>Performance_Bonus_Eligibility</vt:lpstr>
      <vt:lpstr>Performance_Rating</vt:lpstr>
      <vt:lpstr>Region</vt:lpstr>
      <vt:lpstr>Salary</vt:lpstr>
      <vt:lpstr>Skills</vt:lpstr>
      <vt:lpstr>Tenure_in_Months</vt:lpstr>
      <vt:lpstr>Training_Programs_Attended</vt:lpstr>
      <vt:lpstr>Work_Location</vt:lpstr>
      <vt:lpstr>Years_of_Service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Nikhil Ullal</dc:creator>
  <cp:lastModifiedBy>Nikhil Ullal</cp:lastModifiedBy>
  <dcterms:created xsi:type="dcterms:W3CDTF">2015-06-05T18:17:20Z</dcterms:created>
  <dcterms:modified xsi:type="dcterms:W3CDTF">2025-02-27T08:21:20Z</dcterms:modified>
</cp:coreProperties>
</file>